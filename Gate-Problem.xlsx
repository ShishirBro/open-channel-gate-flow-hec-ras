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hish\Purdue\SecondSem\CE540\Homeworks\hw7\"/>
    </mc:Choice>
  </mc:AlternateContent>
  <xr:revisionPtr revIDLastSave="0" documentId="13_ncr:1_{291FB31E-CFFC-4FE3-B528-63A9E7EF016A}" xr6:coauthVersionLast="47" xr6:coauthVersionMax="47" xr10:uidLastSave="{00000000-0000-0000-0000-000000000000}"/>
  <bookViews>
    <workbookView xWindow="-120" yWindow="-120" windowWidth="29040" windowHeight="15720" activeTab="3" xr2:uid="{00000000-000D-0000-FFFF-FFFF00000000}"/>
  </bookViews>
  <sheets>
    <sheet name="(Case 1)" sheetId="1" r:id="rId1"/>
    <sheet name="Island Problem" sheetId="2" r:id="rId2"/>
    <sheet name="(HecRas)" sheetId="3" r:id="rId3"/>
    <sheet name="(Case 2)" sheetId="4" r:id="rId4"/>
  </sheets>
  <definedNames>
    <definedName name="solver_adj" localSheetId="0" hidden="1">'(Case 1)'!$C$44:$C$47</definedName>
    <definedName name="solver_adj" localSheetId="3" hidden="1">'(Case 2)'!$C$73:$C$79</definedName>
    <definedName name="solver_adj" localSheetId="1" hidden="1">'Island Problem'!$C$44:$C$68,'Island Problem'!$C$73:$C$89,'Island Problem'!$C$94:$C$106,'Island Problem'!$J$92,'Island Problem'!$C$14:$C$23</definedName>
    <definedName name="solver_cvg" localSheetId="0" hidden="1">0.0001</definedName>
    <definedName name="solver_cvg" localSheetId="3" hidden="1">0.0001</definedName>
    <definedName name="solver_cvg" localSheetId="1" hidden="1">0.0001</definedName>
    <definedName name="solver_drv" localSheetId="0" hidden="1">1</definedName>
    <definedName name="solver_drv" localSheetId="3" hidden="1">1</definedName>
    <definedName name="solver_drv" localSheetId="1" hidden="1">1</definedName>
    <definedName name="solver_eng" localSheetId="0" hidden="1">1</definedName>
    <definedName name="solver_eng" localSheetId="3" hidden="1">1</definedName>
    <definedName name="solver_eng" localSheetId="1" hidden="1">1</definedName>
    <definedName name="solver_est" localSheetId="0" hidden="1">1</definedName>
    <definedName name="solver_est" localSheetId="3" hidden="1">1</definedName>
    <definedName name="solver_est" localSheetId="1" hidden="1">1</definedName>
    <definedName name="solver_itr" localSheetId="0" hidden="1">2147483647</definedName>
    <definedName name="solver_itr" localSheetId="3" hidden="1">2147483647</definedName>
    <definedName name="solver_itr" localSheetId="1" hidden="1">2147483647</definedName>
    <definedName name="solver_lhs1" localSheetId="0" hidden="1">'(Case 1)'!$M$44:$M$47</definedName>
    <definedName name="solver_lhs1" localSheetId="3" hidden="1">'(Case 2)'!$M$74:$M$79</definedName>
    <definedName name="solver_lhs1" localSheetId="1" hidden="1">'Island Problem'!$L$14:$L$23</definedName>
    <definedName name="solver_lhs2" localSheetId="0" hidden="1">'(Case 1)'!$M$22:$M$24</definedName>
    <definedName name="solver_lhs2" localSheetId="3" hidden="1">'(Case 2)'!$P$73</definedName>
    <definedName name="solver_lhs2" localSheetId="1" hidden="1">'Island Problem'!$L$44:$L$68</definedName>
    <definedName name="solver_lhs3" localSheetId="0" hidden="1">'(Case 1)'!$N$21</definedName>
    <definedName name="solver_lhs3" localSheetId="1" hidden="1">'Island Problem'!$L$73:$L$89</definedName>
    <definedName name="solver_lhs4" localSheetId="1" hidden="1">'Island Problem'!$L$92</definedName>
    <definedName name="solver_lhs5" localSheetId="1" hidden="1">'Island Problem'!$L$94:$L$106</definedName>
    <definedName name="solver_mip" localSheetId="0" hidden="1">2147483647</definedName>
    <definedName name="solver_mip" localSheetId="3" hidden="1">2147483647</definedName>
    <definedName name="solver_mip" localSheetId="1" hidden="1">2147483647</definedName>
    <definedName name="solver_mni" localSheetId="0" hidden="1">30</definedName>
    <definedName name="solver_mni" localSheetId="3" hidden="1">30</definedName>
    <definedName name="solver_mni" localSheetId="1" hidden="1">30</definedName>
    <definedName name="solver_mrt" localSheetId="0" hidden="1">0.075</definedName>
    <definedName name="solver_mrt" localSheetId="3" hidden="1">0.075</definedName>
    <definedName name="solver_mrt" localSheetId="1" hidden="1">0.075</definedName>
    <definedName name="solver_msl" localSheetId="0" hidden="1">2</definedName>
    <definedName name="solver_msl" localSheetId="3" hidden="1">2</definedName>
    <definedName name="solver_msl" localSheetId="1" hidden="1">2</definedName>
    <definedName name="solver_neg" localSheetId="0" hidden="1">1</definedName>
    <definedName name="solver_neg" localSheetId="3" hidden="1">1</definedName>
    <definedName name="solver_neg" localSheetId="1" hidden="1">1</definedName>
    <definedName name="solver_nod" localSheetId="0" hidden="1">2147483647</definedName>
    <definedName name="solver_nod" localSheetId="3" hidden="1">2147483647</definedName>
    <definedName name="solver_nod" localSheetId="1" hidden="1">2147483647</definedName>
    <definedName name="solver_num" localSheetId="0" hidden="1">1</definedName>
    <definedName name="solver_num" localSheetId="3" hidden="1">2</definedName>
    <definedName name="solver_num" localSheetId="1" hidden="1">5</definedName>
    <definedName name="solver_nwt" localSheetId="0" hidden="1">1</definedName>
    <definedName name="solver_nwt" localSheetId="3" hidden="1">1</definedName>
    <definedName name="solver_nwt" localSheetId="1" hidden="1">1</definedName>
    <definedName name="solver_opt" localSheetId="3" hidden="1">'(Case 2)'!$M$18</definedName>
    <definedName name="solver_pre" localSheetId="0" hidden="1">0.000001</definedName>
    <definedName name="solver_pre" localSheetId="3" hidden="1">0.000001</definedName>
    <definedName name="solver_pre" localSheetId="1" hidden="1">0.000001</definedName>
    <definedName name="solver_rbv" localSheetId="0" hidden="1">1</definedName>
    <definedName name="solver_rbv" localSheetId="3" hidden="1">1</definedName>
    <definedName name="solver_rbv" localSheetId="1" hidden="1">1</definedName>
    <definedName name="solver_rel1" localSheetId="0" hidden="1">2</definedName>
    <definedName name="solver_rel1" localSheetId="3" hidden="1">2</definedName>
    <definedName name="solver_rel1" localSheetId="1" hidden="1">2</definedName>
    <definedName name="solver_rel2" localSheetId="0" hidden="1">2</definedName>
    <definedName name="solver_rel2" localSheetId="3" hidden="1">2</definedName>
    <definedName name="solver_rel2" localSheetId="1" hidden="1">2</definedName>
    <definedName name="solver_rel3" localSheetId="0" hidden="1">2</definedName>
    <definedName name="solver_rel3" localSheetId="1" hidden="1">2</definedName>
    <definedName name="solver_rel4" localSheetId="1" hidden="1">2</definedName>
    <definedName name="solver_rel5" localSheetId="1" hidden="1">2</definedName>
    <definedName name="solver_rhs1" localSheetId="0" hidden="1">0</definedName>
    <definedName name="solver_rhs1" localSheetId="3" hidden="1">0</definedName>
    <definedName name="solver_rhs1" localSheetId="1" hidden="1">0</definedName>
    <definedName name="solver_rhs2" localSheetId="0" hidden="1">0</definedName>
    <definedName name="solver_rhs2" localSheetId="3" hidden="1">0</definedName>
    <definedName name="solver_rhs2" localSheetId="1" hidden="1">0</definedName>
    <definedName name="solver_rhs3" localSheetId="0" hidden="1">1</definedName>
    <definedName name="solver_rhs3" localSheetId="1" hidden="1">0</definedName>
    <definedName name="solver_rhs4" localSheetId="1" hidden="1">0</definedName>
    <definedName name="solver_rhs5" localSheetId="1" hidden="1">0</definedName>
    <definedName name="solver_rlx" localSheetId="0" hidden="1">2</definedName>
    <definedName name="solver_rlx" localSheetId="3" hidden="1">2</definedName>
    <definedName name="solver_rlx" localSheetId="1" hidden="1">2</definedName>
    <definedName name="solver_rsd" localSheetId="0" hidden="1">0</definedName>
    <definedName name="solver_rsd" localSheetId="3" hidden="1">0</definedName>
    <definedName name="solver_rsd" localSheetId="1" hidden="1">0</definedName>
    <definedName name="solver_scl" localSheetId="0" hidden="1">1</definedName>
    <definedName name="solver_scl" localSheetId="3" hidden="1">1</definedName>
    <definedName name="solver_scl" localSheetId="1" hidden="1">1</definedName>
    <definedName name="solver_sho" localSheetId="0" hidden="1">2</definedName>
    <definedName name="solver_sho" localSheetId="3" hidden="1">2</definedName>
    <definedName name="solver_sho" localSheetId="1" hidden="1">2</definedName>
    <definedName name="solver_ssz" localSheetId="0" hidden="1">100</definedName>
    <definedName name="solver_ssz" localSheetId="3" hidden="1">100</definedName>
    <definedName name="solver_ssz" localSheetId="1" hidden="1">100</definedName>
    <definedName name="solver_tim" localSheetId="0" hidden="1">2147483647</definedName>
    <definedName name="solver_tim" localSheetId="3" hidden="1">2147483647</definedName>
    <definedName name="solver_tim" localSheetId="1" hidden="1">2147483647</definedName>
    <definedName name="solver_tol" localSheetId="0" hidden="1">0.01</definedName>
    <definedName name="solver_tol" localSheetId="3" hidden="1">0.01</definedName>
    <definedName name="solver_tol" localSheetId="1" hidden="1">0.01</definedName>
    <definedName name="solver_typ" localSheetId="0" hidden="1">1</definedName>
    <definedName name="solver_typ" localSheetId="3" hidden="1">1</definedName>
    <definedName name="solver_typ" localSheetId="1" hidden="1">1</definedName>
    <definedName name="solver_val" localSheetId="0" hidden="1">0</definedName>
    <definedName name="solver_val" localSheetId="3" hidden="1">0</definedName>
    <definedName name="solver_val" localSheetId="1" hidden="1">0</definedName>
    <definedName name="solver_ver" localSheetId="0" hidden="1">3</definedName>
    <definedName name="solver_ver" localSheetId="3" hidden="1">3</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3" i="4" l="1"/>
  <c r="N95" i="2"/>
  <c r="N96" i="2"/>
  <c r="N97" i="2"/>
  <c r="N98" i="2"/>
  <c r="N99" i="2"/>
  <c r="N100" i="2"/>
  <c r="N101" i="2"/>
  <c r="N102" i="2"/>
  <c r="N103" i="2"/>
  <c r="N104" i="2"/>
  <c r="N105" i="2"/>
  <c r="N106" i="2"/>
  <c r="N94" i="2"/>
  <c r="N74" i="2"/>
  <c r="N75" i="2"/>
  <c r="N76" i="2"/>
  <c r="N77" i="2"/>
  <c r="N78" i="2"/>
  <c r="N79" i="2"/>
  <c r="N80" i="2"/>
  <c r="N81" i="2"/>
  <c r="N82" i="2"/>
  <c r="N83" i="2"/>
  <c r="N84" i="2"/>
  <c r="N85" i="2"/>
  <c r="N86" i="2"/>
  <c r="N87" i="2"/>
  <c r="N88" i="2"/>
  <c r="N89" i="2"/>
  <c r="N73" i="2"/>
  <c r="N45" i="2"/>
  <c r="N46" i="2"/>
  <c r="N47" i="2"/>
  <c r="N48" i="2"/>
  <c r="N49" i="2"/>
  <c r="N50" i="2"/>
  <c r="N51" i="2"/>
  <c r="N52" i="2"/>
  <c r="N53" i="2"/>
  <c r="N54" i="2"/>
  <c r="N55" i="2"/>
  <c r="N56" i="2"/>
  <c r="N57" i="2"/>
  <c r="N58" i="2"/>
  <c r="N59" i="2"/>
  <c r="N60" i="2"/>
  <c r="N61" i="2"/>
  <c r="N62" i="2"/>
  <c r="N63" i="2"/>
  <c r="N64" i="2"/>
  <c r="N65" i="2"/>
  <c r="N66" i="2"/>
  <c r="N67" i="2"/>
  <c r="N68" i="2"/>
  <c r="N44" i="2"/>
  <c r="N14" i="2"/>
  <c r="N15" i="2"/>
  <c r="N16" i="2"/>
  <c r="N17" i="2"/>
  <c r="N18" i="2"/>
  <c r="N19" i="2"/>
  <c r="N20" i="2"/>
  <c r="N21" i="2"/>
  <c r="N22" i="2"/>
  <c r="N23" i="2"/>
  <c r="N13" i="2"/>
  <c r="M44" i="1"/>
  <c r="M106" i="2"/>
  <c r="M105" i="2"/>
  <c r="M104" i="2"/>
  <c r="M103" i="2"/>
  <c r="M102" i="2"/>
  <c r="M101" i="2"/>
  <c r="M100" i="2"/>
  <c r="M99" i="2"/>
  <c r="M98" i="2"/>
  <c r="M97" i="2"/>
  <c r="M96" i="2"/>
  <c r="M95" i="2"/>
  <c r="M94" i="2"/>
  <c r="M89" i="2"/>
  <c r="M88" i="2"/>
  <c r="M87" i="2"/>
  <c r="M86" i="2"/>
  <c r="M85" i="2"/>
  <c r="M84" i="2"/>
  <c r="M83" i="2"/>
  <c r="M82" i="2"/>
  <c r="M81" i="2"/>
  <c r="M80" i="2"/>
  <c r="M79" i="2"/>
  <c r="M78" i="2"/>
  <c r="M77" i="2"/>
  <c r="M76" i="2"/>
  <c r="M75" i="2"/>
  <c r="M74" i="2"/>
  <c r="M73" i="2"/>
  <c r="M68" i="2"/>
  <c r="M67" i="2"/>
  <c r="M66" i="2"/>
  <c r="M65" i="2"/>
  <c r="M64" i="2"/>
  <c r="M63" i="2"/>
  <c r="M62" i="2"/>
  <c r="M61" i="2"/>
  <c r="M60" i="2"/>
  <c r="M59" i="2"/>
  <c r="M58" i="2"/>
  <c r="M57" i="2"/>
  <c r="M56" i="2"/>
  <c r="M55" i="2"/>
  <c r="M54" i="2"/>
  <c r="M53" i="2"/>
  <c r="M52" i="2"/>
  <c r="M51" i="2"/>
  <c r="M50" i="2"/>
  <c r="M49" i="2"/>
  <c r="M48" i="2"/>
  <c r="M47" i="2"/>
  <c r="M46" i="2"/>
  <c r="M45" i="2"/>
  <c r="M44" i="2"/>
  <c r="M23" i="2"/>
  <c r="M22" i="2"/>
  <c r="M21" i="2"/>
  <c r="M20" i="2"/>
  <c r="M19" i="2"/>
  <c r="M18" i="2"/>
  <c r="M17" i="2"/>
  <c r="M16" i="2"/>
  <c r="M15" i="2"/>
  <c r="M14" i="2"/>
  <c r="M13" i="2"/>
  <c r="L94" i="2"/>
  <c r="H5" i="2"/>
  <c r="O72" i="1"/>
  <c r="Z16" i="4"/>
  <c r="Z17" i="4"/>
  <c r="Z18" i="4"/>
  <c r="Z19" i="4"/>
  <c r="Z20" i="4"/>
  <c r="Z21" i="4"/>
  <c r="Z22" i="4"/>
  <c r="Z23" i="4"/>
  <c r="Z24" i="4"/>
  <c r="Z25" i="4"/>
  <c r="Z26" i="4"/>
  <c r="Z27" i="4"/>
  <c r="Z28" i="4"/>
  <c r="Z29" i="4"/>
  <c r="Z30" i="4"/>
  <c r="AA15" i="4"/>
  <c r="P16" i="4"/>
  <c r="P17" i="4"/>
  <c r="P18" i="4"/>
  <c r="P19" i="4"/>
  <c r="P20" i="4"/>
  <c r="P21" i="4"/>
  <c r="P22" i="4"/>
  <c r="P23" i="4"/>
  <c r="P24" i="4"/>
  <c r="Q73" i="4"/>
  <c r="Q74" i="4"/>
  <c r="Q75" i="4"/>
  <c r="Q76" i="4"/>
  <c r="Q77" i="4"/>
  <c r="Q78" i="4"/>
  <c r="Q79" i="4"/>
  <c r="AA22" i="4"/>
  <c r="J73" i="4"/>
  <c r="F72" i="4"/>
  <c r="J72" i="4"/>
  <c r="O73" i="4"/>
  <c r="S79" i="4"/>
  <c r="N72" i="4"/>
  <c r="I72" i="4"/>
  <c r="H72" i="4"/>
  <c r="G72" i="4"/>
  <c r="E72" i="4"/>
  <c r="E73" i="4"/>
  <c r="E74" i="4"/>
  <c r="E75" i="4"/>
  <c r="D72" i="4"/>
  <c r="D73" i="4"/>
  <c r="D74" i="4"/>
  <c r="O74" i="4" s="1"/>
  <c r="D75" i="4"/>
  <c r="B73" i="4"/>
  <c r="S72" i="4"/>
  <c r="Q72" i="4"/>
  <c r="B74" i="4"/>
  <c r="E79" i="4"/>
  <c r="D79" i="4"/>
  <c r="B79" i="4"/>
  <c r="E78" i="4"/>
  <c r="D78" i="4"/>
  <c r="B78" i="4"/>
  <c r="E77" i="4"/>
  <c r="D77" i="4"/>
  <c r="B77" i="4"/>
  <c r="E76" i="4"/>
  <c r="D76" i="4"/>
  <c r="B76" i="4"/>
  <c r="B75" i="4"/>
  <c r="R36" i="4"/>
  <c r="B32" i="4"/>
  <c r="AA26" i="4"/>
  <c r="AA25" i="4"/>
  <c r="AA24" i="4"/>
  <c r="E24" i="4"/>
  <c r="D24" i="4"/>
  <c r="O24" i="4" s="1"/>
  <c r="B24" i="4"/>
  <c r="AA23" i="4"/>
  <c r="E23" i="4"/>
  <c r="D23" i="4"/>
  <c r="B23" i="4"/>
  <c r="E22" i="4"/>
  <c r="D22" i="4"/>
  <c r="B22" i="4"/>
  <c r="E21" i="4"/>
  <c r="D21" i="4"/>
  <c r="B21" i="4"/>
  <c r="E20" i="4"/>
  <c r="D20" i="4"/>
  <c r="B20" i="4"/>
  <c r="E19" i="4"/>
  <c r="D19" i="4"/>
  <c r="B19" i="4"/>
  <c r="R19" i="4" s="1"/>
  <c r="E18" i="4"/>
  <c r="D18" i="4"/>
  <c r="B18" i="4"/>
  <c r="E17" i="4"/>
  <c r="D17" i="4"/>
  <c r="B17" i="4"/>
  <c r="E16" i="4"/>
  <c r="D16" i="4"/>
  <c r="B16" i="4"/>
  <c r="E15" i="4"/>
  <c r="D15" i="4"/>
  <c r="B15" i="4"/>
  <c r="AB14" i="4"/>
  <c r="AA14" i="4"/>
  <c r="Z14" i="4"/>
  <c r="Y14" i="4"/>
  <c r="X14" i="4"/>
  <c r="W14" i="4"/>
  <c r="AB13" i="4"/>
  <c r="AA13" i="4"/>
  <c r="Z13" i="4"/>
  <c r="Y13" i="4"/>
  <c r="X13" i="4"/>
  <c r="W13" i="4"/>
  <c r="O4" i="4"/>
  <c r="F4" i="4"/>
  <c r="R73" i="4" s="1"/>
  <c r="O2" i="4"/>
  <c r="F2" i="4"/>
  <c r="AA21" i="1"/>
  <c r="Z21" i="1"/>
  <c r="AA22" i="1"/>
  <c r="AA23" i="1"/>
  <c r="AA24" i="1"/>
  <c r="AA25" i="1"/>
  <c r="AA26" i="1"/>
  <c r="AA27" i="1"/>
  <c r="AA28" i="1"/>
  <c r="AA29" i="1"/>
  <c r="AA30" i="1"/>
  <c r="AA31" i="1"/>
  <c r="AA16" i="1"/>
  <c r="AA17" i="1"/>
  <c r="AA18" i="1"/>
  <c r="AA19" i="1"/>
  <c r="AA20" i="1"/>
  <c r="AA15" i="1"/>
  <c r="Z22" i="1"/>
  <c r="Z23" i="1"/>
  <c r="Z24" i="1"/>
  <c r="Z25" i="1"/>
  <c r="Z26" i="1"/>
  <c r="Z27" i="1"/>
  <c r="Z28" i="1"/>
  <c r="Z29" i="1"/>
  <c r="Z30" i="1"/>
  <c r="Z31" i="1"/>
  <c r="Z16" i="1"/>
  <c r="Z17" i="1"/>
  <c r="Z18" i="1"/>
  <c r="Z19" i="1"/>
  <c r="Z20" i="1"/>
  <c r="Z15" i="1"/>
  <c r="X31" i="1"/>
  <c r="X30" i="1"/>
  <c r="X29" i="1"/>
  <c r="X28" i="1"/>
  <c r="X27" i="1"/>
  <c r="X21" i="1"/>
  <c r="X20" i="1"/>
  <c r="X19" i="1"/>
  <c r="X18" i="1"/>
  <c r="X17" i="1"/>
  <c r="X16" i="1"/>
  <c r="X15" i="1"/>
  <c r="E95" i="2"/>
  <c r="E96" i="2"/>
  <c r="E97" i="2"/>
  <c r="E98" i="2"/>
  <c r="E99" i="2"/>
  <c r="E100" i="2"/>
  <c r="E101" i="2"/>
  <c r="E102" i="2"/>
  <c r="E103" i="2"/>
  <c r="E104" i="2"/>
  <c r="E105" i="2"/>
  <c r="E106" i="2"/>
  <c r="E94" i="2"/>
  <c r="D95" i="2"/>
  <c r="D96" i="2"/>
  <c r="D97" i="2"/>
  <c r="D98" i="2"/>
  <c r="D99" i="2"/>
  <c r="D100" i="2"/>
  <c r="D101" i="2"/>
  <c r="D102" i="2"/>
  <c r="D103" i="2"/>
  <c r="D104" i="2"/>
  <c r="D105" i="2"/>
  <c r="D106" i="2"/>
  <c r="D94" i="2"/>
  <c r="B96" i="2"/>
  <c r="B97" i="2" s="1"/>
  <c r="B98" i="2" s="1"/>
  <c r="B99" i="2" s="1"/>
  <c r="B100" i="2" s="1"/>
  <c r="B101" i="2" s="1"/>
  <c r="B102" i="2" s="1"/>
  <c r="B103" i="2" s="1"/>
  <c r="B104" i="2" s="1"/>
  <c r="B105" i="2" s="1"/>
  <c r="B106" i="2" s="1"/>
  <c r="B95" i="2"/>
  <c r="E74" i="2"/>
  <c r="E75" i="2"/>
  <c r="E76" i="2"/>
  <c r="E77" i="2"/>
  <c r="E78" i="2"/>
  <c r="E79" i="2"/>
  <c r="E80" i="2"/>
  <c r="E81" i="2"/>
  <c r="E82" i="2"/>
  <c r="E83" i="2"/>
  <c r="E84" i="2"/>
  <c r="E85" i="2"/>
  <c r="E86" i="2"/>
  <c r="E87" i="2"/>
  <c r="E88" i="2"/>
  <c r="E89" i="2"/>
  <c r="E73" i="2"/>
  <c r="D74" i="2"/>
  <c r="D75" i="2"/>
  <c r="D76" i="2"/>
  <c r="D77" i="2"/>
  <c r="D78" i="2"/>
  <c r="D79" i="2"/>
  <c r="D80" i="2"/>
  <c r="D81" i="2"/>
  <c r="D82" i="2"/>
  <c r="D83" i="2"/>
  <c r="D84" i="2"/>
  <c r="D85" i="2"/>
  <c r="D86" i="2"/>
  <c r="D87" i="2"/>
  <c r="D88" i="2"/>
  <c r="D89" i="2"/>
  <c r="D73" i="2"/>
  <c r="B75" i="2"/>
  <c r="B76" i="2" s="1"/>
  <c r="B77" i="2" s="1"/>
  <c r="B78" i="2" s="1"/>
  <c r="B79" i="2" s="1"/>
  <c r="B80" i="2" s="1"/>
  <c r="B81" i="2" s="1"/>
  <c r="B82" i="2" s="1"/>
  <c r="B83" i="2" s="1"/>
  <c r="B84" i="2" s="1"/>
  <c r="B85" i="2" s="1"/>
  <c r="B86" i="2" s="1"/>
  <c r="B87" i="2" s="1"/>
  <c r="B88" i="2" s="1"/>
  <c r="B89" i="2" s="1"/>
  <c r="B74" i="2"/>
  <c r="B46" i="2"/>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45" i="2"/>
  <c r="E45" i="2"/>
  <c r="E46" i="2"/>
  <c r="E47" i="2"/>
  <c r="E48" i="2"/>
  <c r="E49" i="2"/>
  <c r="E50" i="2"/>
  <c r="E51" i="2"/>
  <c r="E52" i="2"/>
  <c r="E53" i="2"/>
  <c r="E54" i="2"/>
  <c r="E55" i="2"/>
  <c r="E56" i="2"/>
  <c r="E57" i="2"/>
  <c r="E58" i="2"/>
  <c r="E59" i="2"/>
  <c r="E60" i="2"/>
  <c r="E61" i="2"/>
  <c r="E62" i="2"/>
  <c r="E63" i="2"/>
  <c r="E64" i="2"/>
  <c r="E65" i="2"/>
  <c r="E66" i="2"/>
  <c r="F66" i="2" s="1"/>
  <c r="I66" i="2" s="1"/>
  <c r="E67" i="2"/>
  <c r="E68" i="2"/>
  <c r="E44" i="2"/>
  <c r="D45" i="2"/>
  <c r="D44" i="2"/>
  <c r="E14" i="2"/>
  <c r="E15" i="2"/>
  <c r="E16" i="2"/>
  <c r="E17" i="2"/>
  <c r="E18" i="2"/>
  <c r="E19" i="2"/>
  <c r="E20" i="2"/>
  <c r="E21" i="2"/>
  <c r="E22" i="2"/>
  <c r="E23" i="2"/>
  <c r="I13" i="2"/>
  <c r="H13" i="2"/>
  <c r="G13" i="2"/>
  <c r="F13" i="2"/>
  <c r="E13" i="2"/>
  <c r="D14" i="2"/>
  <c r="D15" i="2"/>
  <c r="D16" i="2"/>
  <c r="D17" i="2"/>
  <c r="D18" i="2"/>
  <c r="D19" i="2"/>
  <c r="D20" i="2"/>
  <c r="D21" i="2"/>
  <c r="D22" i="2"/>
  <c r="D23" i="2"/>
  <c r="D13" i="2"/>
  <c r="B15" i="2"/>
  <c r="B16" i="2"/>
  <c r="B17" i="2"/>
  <c r="B18" i="2"/>
  <c r="B19" i="2"/>
  <c r="B20" i="2"/>
  <c r="B21" i="2"/>
  <c r="B22" i="2"/>
  <c r="B23" i="2"/>
  <c r="B14" i="2"/>
  <c r="R5" i="2"/>
  <c r="O5" i="2"/>
  <c r="K5" i="2"/>
  <c r="K3" i="2"/>
  <c r="E73" i="1"/>
  <c r="E74" i="1"/>
  <c r="E75" i="1"/>
  <c r="E76" i="1"/>
  <c r="E77" i="1"/>
  <c r="E72" i="1"/>
  <c r="D73" i="1"/>
  <c r="D74" i="1"/>
  <c r="D75" i="1"/>
  <c r="D76" i="1"/>
  <c r="D77" i="1"/>
  <c r="D72" i="1"/>
  <c r="B74" i="1"/>
  <c r="B75" i="1"/>
  <c r="B76" i="1"/>
  <c r="B77" i="1"/>
  <c r="B73" i="1"/>
  <c r="E20" i="1"/>
  <c r="D20" i="1"/>
  <c r="O20" i="1" s="1"/>
  <c r="E16" i="1"/>
  <c r="E17" i="1"/>
  <c r="E18" i="1"/>
  <c r="E19" i="1"/>
  <c r="E21" i="1"/>
  <c r="E22" i="1"/>
  <c r="E23" i="1"/>
  <c r="E24" i="1"/>
  <c r="D16" i="1"/>
  <c r="D17" i="1"/>
  <c r="D18" i="1"/>
  <c r="D19" i="1"/>
  <c r="D21" i="1"/>
  <c r="D22" i="1"/>
  <c r="D23" i="1"/>
  <c r="D24" i="1"/>
  <c r="D15" i="1"/>
  <c r="O15" i="1" s="1"/>
  <c r="B44" i="1"/>
  <c r="E44" i="1"/>
  <c r="D44" i="1"/>
  <c r="O44" i="1" s="1"/>
  <c r="B16" i="1"/>
  <c r="P16" i="1" s="1"/>
  <c r="B17" i="1"/>
  <c r="P17" i="1" s="1"/>
  <c r="B18" i="1"/>
  <c r="P18" i="1" s="1"/>
  <c r="B19" i="1"/>
  <c r="P19" i="1" s="1"/>
  <c r="B20" i="1"/>
  <c r="B21" i="1"/>
  <c r="P21" i="1" s="1"/>
  <c r="B22" i="1"/>
  <c r="P22" i="1" s="1"/>
  <c r="B23" i="1"/>
  <c r="B24" i="1"/>
  <c r="B15" i="1"/>
  <c r="P20" i="1"/>
  <c r="P23" i="1"/>
  <c r="P24" i="1"/>
  <c r="E15" i="1"/>
  <c r="O4" i="1"/>
  <c r="O2" i="1"/>
  <c r="F4" i="1"/>
  <c r="F2" i="1"/>
  <c r="B39" i="1"/>
  <c r="AB14" i="1"/>
  <c r="AA14" i="1"/>
  <c r="Z14" i="1"/>
  <c r="Y14" i="1"/>
  <c r="X14" i="1"/>
  <c r="W14" i="1"/>
  <c r="AB13" i="1"/>
  <c r="AA13" i="1"/>
  <c r="Z13" i="1"/>
  <c r="Y13" i="1"/>
  <c r="X13" i="1"/>
  <c r="W13" i="1"/>
  <c r="F95" i="2" l="1"/>
  <c r="I95" i="2" s="1"/>
  <c r="G95" i="2"/>
  <c r="H95" i="2" s="1"/>
  <c r="F96" i="2"/>
  <c r="I96" i="2" s="1"/>
  <c r="G96" i="2"/>
  <c r="H96" i="2" s="1"/>
  <c r="F97" i="2"/>
  <c r="I97" i="2" s="1"/>
  <c r="G97" i="2"/>
  <c r="H97" i="2" s="1"/>
  <c r="G98" i="2"/>
  <c r="H98" i="2" s="1"/>
  <c r="F98" i="2"/>
  <c r="I98" i="2" s="1"/>
  <c r="G99" i="2"/>
  <c r="H99" i="2" s="1"/>
  <c r="F99" i="2"/>
  <c r="I99" i="2" s="1"/>
  <c r="G100" i="2"/>
  <c r="H100" i="2" s="1"/>
  <c r="F100" i="2"/>
  <c r="I100" i="2" s="1"/>
  <c r="G101" i="2"/>
  <c r="H101" i="2" s="1"/>
  <c r="F101" i="2"/>
  <c r="I101" i="2" s="1"/>
  <c r="G102" i="2"/>
  <c r="H102" i="2" s="1"/>
  <c r="F102" i="2"/>
  <c r="I102" i="2" s="1"/>
  <c r="G103" i="2"/>
  <c r="H103" i="2" s="1"/>
  <c r="F103" i="2"/>
  <c r="I103" i="2" s="1"/>
  <c r="G104" i="2"/>
  <c r="H104" i="2" s="1"/>
  <c r="F104" i="2"/>
  <c r="I104" i="2" s="1"/>
  <c r="F105" i="2"/>
  <c r="I105" i="2" s="1"/>
  <c r="G105" i="2"/>
  <c r="H105" i="2" s="1"/>
  <c r="F106" i="2"/>
  <c r="I106" i="2" s="1"/>
  <c r="G106" i="2"/>
  <c r="H106" i="2" s="1"/>
  <c r="G94" i="2"/>
  <c r="H94" i="2" s="1"/>
  <c r="F94" i="2"/>
  <c r="I94" i="2" s="1"/>
  <c r="F74" i="2"/>
  <c r="I74" i="2" s="1"/>
  <c r="F75" i="2"/>
  <c r="I75" i="2" s="1"/>
  <c r="F76" i="2"/>
  <c r="I76" i="2" s="1"/>
  <c r="F77" i="2"/>
  <c r="I77" i="2" s="1"/>
  <c r="F78" i="2"/>
  <c r="I78" i="2" s="1"/>
  <c r="F79" i="2"/>
  <c r="I79" i="2" s="1"/>
  <c r="F80" i="2"/>
  <c r="I80" i="2" s="1"/>
  <c r="F81" i="2"/>
  <c r="I81" i="2" s="1"/>
  <c r="F82" i="2"/>
  <c r="I82" i="2" s="1"/>
  <c r="F83" i="2"/>
  <c r="I83" i="2" s="1"/>
  <c r="F84" i="2"/>
  <c r="I84" i="2" s="1"/>
  <c r="F85" i="2"/>
  <c r="I85" i="2" s="1"/>
  <c r="F86" i="2"/>
  <c r="I86" i="2" s="1"/>
  <c r="F87" i="2"/>
  <c r="I87" i="2" s="1"/>
  <c r="F88" i="2"/>
  <c r="I88" i="2" s="1"/>
  <c r="F89" i="2"/>
  <c r="I89" i="2" s="1"/>
  <c r="F73" i="2"/>
  <c r="I73" i="2" s="1"/>
  <c r="F45" i="2"/>
  <c r="I45" i="2" s="1"/>
  <c r="F46" i="2"/>
  <c r="I46" i="2" s="1"/>
  <c r="F47" i="2"/>
  <c r="I47" i="2" s="1"/>
  <c r="F48" i="2"/>
  <c r="I48" i="2" s="1"/>
  <c r="F49" i="2"/>
  <c r="I49" i="2" s="1"/>
  <c r="F50" i="2"/>
  <c r="I50" i="2" s="1"/>
  <c r="F51" i="2"/>
  <c r="I51" i="2" s="1"/>
  <c r="F52" i="2"/>
  <c r="I52" i="2" s="1"/>
  <c r="F53" i="2"/>
  <c r="I53" i="2" s="1"/>
  <c r="F54" i="2"/>
  <c r="I54" i="2" s="1"/>
  <c r="F55" i="2"/>
  <c r="I55" i="2" s="1"/>
  <c r="F56" i="2"/>
  <c r="I56" i="2" s="1"/>
  <c r="F57" i="2"/>
  <c r="I57" i="2" s="1"/>
  <c r="F58" i="2"/>
  <c r="I58" i="2" s="1"/>
  <c r="F59" i="2"/>
  <c r="I59" i="2" s="1"/>
  <c r="F60" i="2"/>
  <c r="I60" i="2" s="1"/>
  <c r="F61" i="2"/>
  <c r="I61" i="2" s="1"/>
  <c r="F62" i="2"/>
  <c r="I62" i="2" s="1"/>
  <c r="F63" i="2"/>
  <c r="I63" i="2" s="1"/>
  <c r="F64" i="2"/>
  <c r="I64" i="2" s="1"/>
  <c r="F65" i="2"/>
  <c r="I65" i="2" s="1"/>
  <c r="F67" i="2"/>
  <c r="I67" i="2" s="1"/>
  <c r="F68" i="2"/>
  <c r="I68" i="2" s="1"/>
  <c r="F44" i="2"/>
  <c r="I44" i="2" s="1"/>
  <c r="E5" i="2"/>
  <c r="G74" i="2"/>
  <c r="H74" i="2" s="1"/>
  <c r="G76" i="2"/>
  <c r="H76" i="2" s="1"/>
  <c r="G78" i="2"/>
  <c r="H78" i="2" s="1"/>
  <c r="G79" i="2"/>
  <c r="H79" i="2" s="1"/>
  <c r="G80" i="2"/>
  <c r="H80" i="2" s="1"/>
  <c r="G82" i="2"/>
  <c r="H82" i="2" s="1"/>
  <c r="G84" i="2"/>
  <c r="H84" i="2" s="1"/>
  <c r="G86" i="2"/>
  <c r="H86" i="2" s="1"/>
  <c r="G88" i="2"/>
  <c r="H88" i="2" s="1"/>
  <c r="G89" i="2"/>
  <c r="H89" i="2" s="1"/>
  <c r="G73" i="2"/>
  <c r="H73" i="2" s="1"/>
  <c r="G75" i="2"/>
  <c r="H75" i="2" s="1"/>
  <c r="G77" i="2"/>
  <c r="H77" i="2" s="1"/>
  <c r="G81" i="2"/>
  <c r="H81" i="2" s="1"/>
  <c r="G83" i="2"/>
  <c r="H83" i="2" s="1"/>
  <c r="G85" i="2"/>
  <c r="H85" i="2" s="1"/>
  <c r="G87" i="2"/>
  <c r="H87" i="2" s="1"/>
  <c r="R3" i="2"/>
  <c r="H74" i="4"/>
  <c r="I74" i="4" s="1"/>
  <c r="H75" i="4"/>
  <c r="I75" i="4" s="1"/>
  <c r="N73" i="4"/>
  <c r="H73" i="4"/>
  <c r="I73" i="4" s="1"/>
  <c r="F73" i="4"/>
  <c r="G73" i="4" s="1"/>
  <c r="F74" i="4"/>
  <c r="G74" i="4" s="1"/>
  <c r="J74" i="4" s="1"/>
  <c r="N74" i="4"/>
  <c r="N75" i="4"/>
  <c r="F75" i="4"/>
  <c r="G75" i="4" s="1"/>
  <c r="J75" i="4" s="1"/>
  <c r="S73" i="4"/>
  <c r="O72" i="4"/>
  <c r="R72" i="4"/>
  <c r="R74" i="4"/>
  <c r="S74" i="4"/>
  <c r="O77" i="4"/>
  <c r="F77" i="4"/>
  <c r="G77" i="4" s="1"/>
  <c r="J77" i="4" s="1"/>
  <c r="N77" i="4"/>
  <c r="H77" i="4"/>
  <c r="I77" i="4" s="1"/>
  <c r="S77" i="4"/>
  <c r="R24" i="4"/>
  <c r="AA19" i="4"/>
  <c r="Z15" i="4"/>
  <c r="Q24" i="4"/>
  <c r="F79" i="4"/>
  <c r="G79" i="4" s="1"/>
  <c r="J79" i="4" s="1"/>
  <c r="O79" i="4"/>
  <c r="N79" i="4"/>
  <c r="H79" i="4"/>
  <c r="I79" i="4" s="1"/>
  <c r="N78" i="4"/>
  <c r="F78" i="4"/>
  <c r="G78" i="4" s="1"/>
  <c r="J78" i="4" s="1"/>
  <c r="H78" i="4"/>
  <c r="I78" i="4" s="1"/>
  <c r="O78" i="4"/>
  <c r="S78" i="4"/>
  <c r="F76" i="4"/>
  <c r="G76" i="4" s="1"/>
  <c r="J76" i="4" s="1"/>
  <c r="H76" i="4"/>
  <c r="I76" i="4" s="1"/>
  <c r="N76" i="4"/>
  <c r="O76" i="4"/>
  <c r="S76" i="4"/>
  <c r="O75" i="4"/>
  <c r="P75" i="4" s="1"/>
  <c r="S75" i="4"/>
  <c r="C36" i="4"/>
  <c r="AA30" i="4"/>
  <c r="AA29" i="4"/>
  <c r="AA28" i="4"/>
  <c r="AA27" i="4"/>
  <c r="F24" i="4"/>
  <c r="G24" i="4" s="1"/>
  <c r="J24" i="4" s="1"/>
  <c r="H24" i="4"/>
  <c r="I24" i="4" s="1"/>
  <c r="N24" i="4"/>
  <c r="F23" i="4"/>
  <c r="G23" i="4" s="1"/>
  <c r="J23" i="4" s="1"/>
  <c r="H23" i="4"/>
  <c r="I23" i="4" s="1"/>
  <c r="N23" i="4"/>
  <c r="O23" i="4"/>
  <c r="R23" i="4"/>
  <c r="O22" i="4"/>
  <c r="N22" i="4"/>
  <c r="F22" i="4"/>
  <c r="G22" i="4" s="1"/>
  <c r="J22" i="4" s="1"/>
  <c r="H22" i="4"/>
  <c r="I22" i="4" s="1"/>
  <c r="R22" i="4"/>
  <c r="AA21" i="4"/>
  <c r="H21" i="4"/>
  <c r="I21" i="4" s="1"/>
  <c r="F21" i="4"/>
  <c r="G21" i="4" s="1"/>
  <c r="J21" i="4" s="1"/>
  <c r="O21" i="4"/>
  <c r="N21" i="4"/>
  <c r="Q21" i="4"/>
  <c r="R21" i="4"/>
  <c r="AA20" i="4"/>
  <c r="F20" i="4"/>
  <c r="G20" i="4" s="1"/>
  <c r="J20" i="4" s="1"/>
  <c r="H20" i="4"/>
  <c r="I20" i="4" s="1"/>
  <c r="N20" i="4"/>
  <c r="O20" i="4"/>
  <c r="R20" i="4"/>
  <c r="Q20" i="4"/>
  <c r="H19" i="4"/>
  <c r="I19" i="4" s="1"/>
  <c r="F19" i="4"/>
  <c r="G19" i="4" s="1"/>
  <c r="J19" i="4" s="1"/>
  <c r="N19" i="4"/>
  <c r="O19" i="4"/>
  <c r="AA18" i="4"/>
  <c r="H18" i="4"/>
  <c r="I18" i="4" s="1"/>
  <c r="F18" i="4"/>
  <c r="G18" i="4" s="1"/>
  <c r="J18" i="4" s="1"/>
  <c r="O18" i="4"/>
  <c r="N18" i="4"/>
  <c r="R18" i="4"/>
  <c r="Q18" i="4"/>
  <c r="AA17" i="4"/>
  <c r="O17" i="4"/>
  <c r="N17" i="4"/>
  <c r="H17" i="4"/>
  <c r="I17" i="4" s="1"/>
  <c r="F17" i="4"/>
  <c r="G17" i="4" s="1"/>
  <c r="J17" i="4" s="1"/>
  <c r="R17" i="4"/>
  <c r="Q17" i="4"/>
  <c r="AA16" i="4"/>
  <c r="F16" i="4"/>
  <c r="G16" i="4" s="1"/>
  <c r="J16" i="4" s="1"/>
  <c r="H16" i="4"/>
  <c r="I16" i="4" s="1"/>
  <c r="O16" i="4"/>
  <c r="N16" i="4"/>
  <c r="R16" i="4"/>
  <c r="Q16" i="4"/>
  <c r="H15" i="4"/>
  <c r="I15" i="4" s="1"/>
  <c r="N15" i="4"/>
  <c r="O15" i="4"/>
  <c r="F15" i="4"/>
  <c r="G15" i="4" s="1"/>
  <c r="J15" i="4" s="1"/>
  <c r="Q15" i="4"/>
  <c r="R15" i="4"/>
  <c r="P15" i="4"/>
  <c r="R79" i="4"/>
  <c r="Q23" i="4"/>
  <c r="Q22" i="4"/>
  <c r="R78" i="4"/>
  <c r="R77" i="4"/>
  <c r="R76" i="4"/>
  <c r="R75" i="4"/>
  <c r="Q36" i="4"/>
  <c r="Q19" i="4"/>
  <c r="F68" i="1"/>
  <c r="B68" i="1" s="1"/>
  <c r="C43" i="1"/>
  <c r="D46" i="2"/>
  <c r="G14" i="2"/>
  <c r="H14" i="2" s="1"/>
  <c r="F14" i="2"/>
  <c r="I14" i="2" s="1"/>
  <c r="G15" i="2"/>
  <c r="H15" i="2" s="1"/>
  <c r="F15" i="2"/>
  <c r="I15" i="2" s="1"/>
  <c r="G16" i="2"/>
  <c r="H16" i="2" s="1"/>
  <c r="F16" i="2"/>
  <c r="I16" i="2" s="1"/>
  <c r="G17" i="2"/>
  <c r="H17" i="2" s="1"/>
  <c r="F17" i="2"/>
  <c r="I17" i="2" s="1"/>
  <c r="G18" i="2"/>
  <c r="H18" i="2" s="1"/>
  <c r="F18" i="2"/>
  <c r="I18" i="2" s="1"/>
  <c r="G19" i="2"/>
  <c r="H19" i="2" s="1"/>
  <c r="F19" i="2"/>
  <c r="I19" i="2" s="1"/>
  <c r="G20" i="2"/>
  <c r="H20" i="2" s="1"/>
  <c r="F20" i="2"/>
  <c r="I20" i="2" s="1"/>
  <c r="G21" i="2"/>
  <c r="H21" i="2" s="1"/>
  <c r="F21" i="2"/>
  <c r="I21" i="2" s="1"/>
  <c r="G22" i="2"/>
  <c r="H22" i="2" s="1"/>
  <c r="F22" i="2"/>
  <c r="I22" i="2" s="1"/>
  <c r="G23" i="2"/>
  <c r="H23" i="2" s="1"/>
  <c r="F23" i="2"/>
  <c r="I23" i="2" s="1"/>
  <c r="O73" i="1"/>
  <c r="N73" i="1"/>
  <c r="O74" i="1"/>
  <c r="N74" i="1"/>
  <c r="N75" i="1"/>
  <c r="O75" i="1"/>
  <c r="N76" i="1"/>
  <c r="O76" i="1"/>
  <c r="O77" i="1"/>
  <c r="N77" i="1"/>
  <c r="N72" i="1"/>
  <c r="F73" i="1"/>
  <c r="G73" i="1" s="1"/>
  <c r="F74" i="1"/>
  <c r="G74" i="1" s="1"/>
  <c r="F75" i="1"/>
  <c r="G75" i="1" s="1"/>
  <c r="F76" i="1"/>
  <c r="G76" i="1" s="1"/>
  <c r="F77" i="1"/>
  <c r="G77" i="1" s="1"/>
  <c r="F72" i="1"/>
  <c r="G72" i="1" s="1"/>
  <c r="H16" i="1"/>
  <c r="I16" i="1" s="1"/>
  <c r="F16" i="1"/>
  <c r="G16" i="1" s="1"/>
  <c r="J16" i="1" s="1"/>
  <c r="F17" i="1"/>
  <c r="G17" i="1" s="1"/>
  <c r="J17" i="1" s="1"/>
  <c r="H17" i="1"/>
  <c r="I17" i="1" s="1"/>
  <c r="H18" i="1"/>
  <c r="I18" i="1" s="1"/>
  <c r="F18" i="1"/>
  <c r="G18" i="1" s="1"/>
  <c r="J18" i="1" s="1"/>
  <c r="H19" i="1"/>
  <c r="I19" i="1" s="1"/>
  <c r="F19" i="1"/>
  <c r="G19" i="1" s="1"/>
  <c r="J19" i="1" s="1"/>
  <c r="H20" i="1"/>
  <c r="I20" i="1" s="1"/>
  <c r="F20" i="1"/>
  <c r="G20" i="1" s="1"/>
  <c r="J20" i="1" s="1"/>
  <c r="O21" i="1"/>
  <c r="H21" i="1"/>
  <c r="I21" i="1" s="1"/>
  <c r="F21" i="1"/>
  <c r="G21" i="1" s="1"/>
  <c r="O22" i="1"/>
  <c r="H22" i="1"/>
  <c r="I22" i="1" s="1"/>
  <c r="F22" i="1"/>
  <c r="G22" i="1" s="1"/>
  <c r="J22" i="1" s="1"/>
  <c r="H24" i="1"/>
  <c r="I24" i="1" s="1"/>
  <c r="F24" i="1"/>
  <c r="G24" i="1" s="1"/>
  <c r="J24" i="1" s="1"/>
  <c r="H23" i="1"/>
  <c r="I23" i="1" s="1"/>
  <c r="F23" i="1"/>
  <c r="G23" i="1" s="1"/>
  <c r="J23" i="1" s="1"/>
  <c r="O24" i="1"/>
  <c r="O23" i="1"/>
  <c r="O19" i="1"/>
  <c r="O18" i="1"/>
  <c r="O17" i="1"/>
  <c r="O16" i="1"/>
  <c r="F44" i="1"/>
  <c r="G44" i="1" s="1"/>
  <c r="F15" i="1"/>
  <c r="G15" i="1" s="1"/>
  <c r="P44" i="1"/>
  <c r="N44" i="1"/>
  <c r="N23" i="1"/>
  <c r="N24" i="1"/>
  <c r="N17" i="1"/>
  <c r="N18" i="1"/>
  <c r="N19" i="1"/>
  <c r="N20" i="1"/>
  <c r="N21" i="1"/>
  <c r="N22" i="1"/>
  <c r="N16" i="1"/>
  <c r="N15" i="1"/>
  <c r="H77" i="1"/>
  <c r="I77" i="1" s="1"/>
  <c r="H76" i="1"/>
  <c r="I76" i="1" s="1"/>
  <c r="H75" i="1"/>
  <c r="I75" i="1" s="1"/>
  <c r="H74" i="1"/>
  <c r="I74" i="1" s="1"/>
  <c r="H73" i="1"/>
  <c r="I73" i="1" s="1"/>
  <c r="H72" i="1"/>
  <c r="I72" i="1" s="1"/>
  <c r="H44" i="1"/>
  <c r="I44" i="1" s="1"/>
  <c r="Q43" i="1"/>
  <c r="H15" i="1"/>
  <c r="I15" i="1" s="1"/>
  <c r="J15" i="1"/>
  <c r="R15" i="1"/>
  <c r="P15" i="1"/>
  <c r="Q16" i="1"/>
  <c r="Q15" i="1"/>
  <c r="L73" i="2" l="1"/>
  <c r="J95" i="2"/>
  <c r="K95" i="2" s="1"/>
  <c r="L95" i="2" s="1"/>
  <c r="J97" i="2"/>
  <c r="K97" i="2" s="1"/>
  <c r="L97" i="2" s="1"/>
  <c r="J88" i="2"/>
  <c r="K88" i="2" s="1"/>
  <c r="L88" i="2" s="1"/>
  <c r="J89" i="2"/>
  <c r="K89" i="2" s="1"/>
  <c r="L89" i="2" s="1"/>
  <c r="J84" i="2"/>
  <c r="K84" i="2" s="1"/>
  <c r="L84" i="2" s="1"/>
  <c r="L92" i="2"/>
  <c r="J79" i="2"/>
  <c r="K79" i="2" s="1"/>
  <c r="L79" i="2" s="1"/>
  <c r="J83" i="2"/>
  <c r="K83" i="2" s="1"/>
  <c r="L83" i="2" s="1"/>
  <c r="J87" i="2"/>
  <c r="K87" i="2" s="1"/>
  <c r="L87" i="2" s="1"/>
  <c r="J104" i="2"/>
  <c r="K104" i="2" s="1"/>
  <c r="L104" i="2" s="1"/>
  <c r="J96" i="2"/>
  <c r="K96" i="2" s="1"/>
  <c r="L96" i="2" s="1"/>
  <c r="J80" i="2"/>
  <c r="K80" i="2" s="1"/>
  <c r="L80" i="2" s="1"/>
  <c r="J99" i="2"/>
  <c r="K99" i="2" s="1"/>
  <c r="L99" i="2" s="1"/>
  <c r="J98" i="2"/>
  <c r="K98" i="2" s="1"/>
  <c r="L98" i="2" s="1"/>
  <c r="J75" i="2"/>
  <c r="K75" i="2" s="1"/>
  <c r="L75" i="2" s="1"/>
  <c r="J74" i="2"/>
  <c r="K74" i="2" s="1"/>
  <c r="L74" i="2" s="1"/>
  <c r="J77" i="2"/>
  <c r="K77" i="2" s="1"/>
  <c r="L77" i="2" s="1"/>
  <c r="J76" i="2"/>
  <c r="K76" i="2" s="1"/>
  <c r="L76" i="2" s="1"/>
  <c r="J82" i="2"/>
  <c r="K82" i="2" s="1"/>
  <c r="L82" i="2" s="1"/>
  <c r="J81" i="2"/>
  <c r="K81" i="2" s="1"/>
  <c r="L81" i="2" s="1"/>
  <c r="J85" i="2"/>
  <c r="K85" i="2" s="1"/>
  <c r="L85" i="2" s="1"/>
  <c r="J86" i="2"/>
  <c r="K86" i="2" s="1"/>
  <c r="L86" i="2" s="1"/>
  <c r="J100" i="2"/>
  <c r="K100" i="2" s="1"/>
  <c r="L100" i="2" s="1"/>
  <c r="J101" i="2"/>
  <c r="K101" i="2" s="1"/>
  <c r="L101" i="2" s="1"/>
  <c r="J102" i="2"/>
  <c r="K102" i="2" s="1"/>
  <c r="L102" i="2" s="1"/>
  <c r="J103" i="2"/>
  <c r="K103" i="2" s="1"/>
  <c r="L103" i="2" s="1"/>
  <c r="J105" i="2"/>
  <c r="K105" i="2" s="1"/>
  <c r="L105" i="2" s="1"/>
  <c r="J106" i="2"/>
  <c r="K106" i="2" s="1"/>
  <c r="L106" i="2" s="1"/>
  <c r="J78" i="2"/>
  <c r="K78" i="2" s="1"/>
  <c r="L78" i="2" s="1"/>
  <c r="O3" i="2"/>
  <c r="G68" i="2"/>
  <c r="G65" i="2"/>
  <c r="G63" i="2"/>
  <c r="G61" i="2"/>
  <c r="G59" i="2"/>
  <c r="G56" i="2"/>
  <c r="G54" i="2"/>
  <c r="G51" i="2"/>
  <c r="G46" i="2"/>
  <c r="H46" i="2" s="1"/>
  <c r="J62" i="2"/>
  <c r="K62" i="2" s="1"/>
  <c r="J59" i="2"/>
  <c r="K59" i="2" s="1"/>
  <c r="J54" i="2"/>
  <c r="K54" i="2" s="1"/>
  <c r="J52" i="2"/>
  <c r="K52" i="2" s="1"/>
  <c r="J49" i="2"/>
  <c r="K49" i="2" s="1"/>
  <c r="J61" i="2"/>
  <c r="K61" i="2" s="1"/>
  <c r="G44" i="2"/>
  <c r="H44" i="2" s="1"/>
  <c r="L44" i="2" s="1"/>
  <c r="G67" i="2"/>
  <c r="G66" i="2"/>
  <c r="G64" i="2"/>
  <c r="G62" i="2"/>
  <c r="G60" i="2"/>
  <c r="G58" i="2"/>
  <c r="G57" i="2"/>
  <c r="G55" i="2"/>
  <c r="G53" i="2"/>
  <c r="G52" i="2"/>
  <c r="G50" i="2"/>
  <c r="G49" i="2"/>
  <c r="G48" i="2"/>
  <c r="G47" i="2"/>
  <c r="G45" i="2"/>
  <c r="H45" i="2" s="1"/>
  <c r="J45" i="2"/>
  <c r="K45" i="2" s="1"/>
  <c r="J68" i="2"/>
  <c r="K68" i="2" s="1"/>
  <c r="J67" i="2"/>
  <c r="K67" i="2" s="1"/>
  <c r="J66" i="2"/>
  <c r="K66" i="2" s="1"/>
  <c r="J65" i="2"/>
  <c r="K65" i="2" s="1"/>
  <c r="J64" i="2"/>
  <c r="K64" i="2" s="1"/>
  <c r="J63" i="2"/>
  <c r="K63" i="2" s="1"/>
  <c r="J60" i="2"/>
  <c r="K60" i="2" s="1"/>
  <c r="J58" i="2"/>
  <c r="K58" i="2" s="1"/>
  <c r="J57" i="2"/>
  <c r="K57" i="2" s="1"/>
  <c r="J56" i="2"/>
  <c r="K56" i="2" s="1"/>
  <c r="J55" i="2"/>
  <c r="K55" i="2" s="1"/>
  <c r="J53" i="2"/>
  <c r="K53" i="2" s="1"/>
  <c r="J51" i="2"/>
  <c r="K51" i="2" s="1"/>
  <c r="J50" i="2"/>
  <c r="K50" i="2" s="1"/>
  <c r="J48" i="2"/>
  <c r="K48" i="2" s="1"/>
  <c r="J47" i="2"/>
  <c r="K47" i="2" s="1"/>
  <c r="J46" i="2"/>
  <c r="K46" i="2" s="1"/>
  <c r="K75" i="4"/>
  <c r="L75" i="4" s="1"/>
  <c r="M75" i="4" s="1"/>
  <c r="M74" i="4"/>
  <c r="P78" i="4"/>
  <c r="P76" i="4"/>
  <c r="P77" i="4"/>
  <c r="P79" i="4"/>
  <c r="P74" i="4"/>
  <c r="K19" i="4"/>
  <c r="L19" i="4" s="1"/>
  <c r="M19" i="4" s="1"/>
  <c r="K20" i="4"/>
  <c r="L20" i="4" s="1"/>
  <c r="M20" i="4" s="1"/>
  <c r="K23" i="4"/>
  <c r="L23" i="4" s="1"/>
  <c r="M23" i="4" s="1"/>
  <c r="K24" i="4"/>
  <c r="L24" i="4" s="1"/>
  <c r="M24" i="4" s="1"/>
  <c r="K16" i="4"/>
  <c r="L16" i="4" s="1"/>
  <c r="M16" i="4" s="1"/>
  <c r="K78" i="4"/>
  <c r="L78" i="4" s="1"/>
  <c r="M78" i="4" s="1"/>
  <c r="K79" i="4"/>
  <c r="L79" i="4" s="1"/>
  <c r="M79" i="4" s="1"/>
  <c r="D36" i="4"/>
  <c r="O36" i="4" s="1"/>
  <c r="E36" i="4"/>
  <c r="P36" i="4"/>
  <c r="K22" i="4"/>
  <c r="L22" i="4" s="1"/>
  <c r="M22" i="4" s="1"/>
  <c r="K21" i="4"/>
  <c r="K76" i="4"/>
  <c r="L76" i="4" s="1"/>
  <c r="M76" i="4" s="1"/>
  <c r="K77" i="4"/>
  <c r="L77" i="4" s="1"/>
  <c r="M77" i="4" s="1"/>
  <c r="M21" i="4"/>
  <c r="K17" i="4"/>
  <c r="L17" i="4" s="1"/>
  <c r="M17" i="4" s="1"/>
  <c r="K18" i="4"/>
  <c r="L18" i="4" s="1"/>
  <c r="M18" i="4" s="1"/>
  <c r="D43" i="1"/>
  <c r="E43" i="1"/>
  <c r="O43" i="1"/>
  <c r="P43" i="1"/>
  <c r="K24" i="1"/>
  <c r="K23" i="1"/>
  <c r="K22" i="1"/>
  <c r="K21" i="1"/>
  <c r="K20" i="1"/>
  <c r="K19" i="1"/>
  <c r="K18" i="1"/>
  <c r="K17" i="1"/>
  <c r="D47" i="2"/>
  <c r="J23" i="2"/>
  <c r="K23" i="2" s="1"/>
  <c r="L23" i="2" s="1"/>
  <c r="J22" i="2"/>
  <c r="K22" i="2" s="1"/>
  <c r="L22" i="2" s="1"/>
  <c r="J20" i="2"/>
  <c r="K20" i="2" s="1"/>
  <c r="L20" i="2" s="1"/>
  <c r="J21" i="2"/>
  <c r="K21" i="2" s="1"/>
  <c r="L21" i="2" s="1"/>
  <c r="J19" i="2"/>
  <c r="K19" i="2" s="1"/>
  <c r="L19" i="2" s="1"/>
  <c r="J17" i="2"/>
  <c r="K17" i="2" s="1"/>
  <c r="L17" i="2" s="1"/>
  <c r="J18" i="2"/>
  <c r="K18" i="2" s="1"/>
  <c r="L18" i="2" s="1"/>
  <c r="J16" i="2"/>
  <c r="K16" i="2" s="1"/>
  <c r="L16" i="2" s="1"/>
  <c r="J14" i="2"/>
  <c r="K14" i="2" s="1"/>
  <c r="L14" i="2" s="1"/>
  <c r="J15" i="2"/>
  <c r="K15" i="2" s="1"/>
  <c r="L15" i="2" s="1"/>
  <c r="K76" i="1"/>
  <c r="K73" i="1"/>
  <c r="L73" i="1" s="1"/>
  <c r="K77" i="1"/>
  <c r="K74" i="1"/>
  <c r="L74" i="1" s="1"/>
  <c r="K75" i="1"/>
  <c r="J21" i="1"/>
  <c r="B45" i="1"/>
  <c r="E45" i="1"/>
  <c r="D45" i="1"/>
  <c r="K16" i="1"/>
  <c r="L16" i="1" s="1"/>
  <c r="H43" i="1"/>
  <c r="I43" i="1" s="1"/>
  <c r="K44" i="1" s="1"/>
  <c r="R43" i="1"/>
  <c r="R16" i="1"/>
  <c r="L46" i="2" l="1"/>
  <c r="L45" i="2"/>
  <c r="H47" i="2"/>
  <c r="L47" i="2" s="1"/>
  <c r="F36" i="4"/>
  <c r="G36" i="4" s="1"/>
  <c r="J36" i="4" s="1"/>
  <c r="H36" i="4"/>
  <c r="I36" i="4" s="1"/>
  <c r="N36" i="4"/>
  <c r="N43" i="1"/>
  <c r="F43" i="1"/>
  <c r="G43" i="1" s="1"/>
  <c r="J43" i="1" s="1"/>
  <c r="L44" i="1"/>
  <c r="D48" i="2"/>
  <c r="H48" i="2" s="1"/>
  <c r="L75" i="1"/>
  <c r="F45" i="1"/>
  <c r="G45" i="1" s="1"/>
  <c r="O45" i="1"/>
  <c r="D46" i="1"/>
  <c r="E46" i="1"/>
  <c r="N45" i="1"/>
  <c r="H45" i="1"/>
  <c r="I45" i="1" s="1"/>
  <c r="B46" i="1"/>
  <c r="L76" i="1"/>
  <c r="Q72" i="1"/>
  <c r="J72" i="1"/>
  <c r="R72" i="1"/>
  <c r="P72" i="1"/>
  <c r="Q44" i="1"/>
  <c r="J44" i="1"/>
  <c r="R44" i="1"/>
  <c r="P45" i="1"/>
  <c r="Q17" i="1"/>
  <c r="R17" i="1"/>
  <c r="M16" i="1"/>
  <c r="L48" i="2" l="1"/>
  <c r="K45" i="1"/>
  <c r="L45" i="1" s="1"/>
  <c r="D49" i="2"/>
  <c r="H49" i="2" s="1"/>
  <c r="L49" i="2" s="1"/>
  <c r="F46" i="1"/>
  <c r="G46" i="1" s="1"/>
  <c r="O46" i="1"/>
  <c r="N46" i="1"/>
  <c r="H46" i="1"/>
  <c r="I46" i="1" s="1"/>
  <c r="L17" i="1"/>
  <c r="M17" i="1" s="1"/>
  <c r="L18" i="1"/>
  <c r="M18" i="1" s="1"/>
  <c r="L77" i="1"/>
  <c r="Q73" i="1"/>
  <c r="J73" i="1"/>
  <c r="R73" i="1"/>
  <c r="P73" i="1"/>
  <c r="Q45" i="1"/>
  <c r="J45" i="1"/>
  <c r="R45" i="1"/>
  <c r="P46" i="1"/>
  <c r="Q18" i="1"/>
  <c r="R18" i="1"/>
  <c r="K46" i="1" l="1"/>
  <c r="L46" i="1" s="1"/>
  <c r="D50" i="2"/>
  <c r="H50" i="2" s="1"/>
  <c r="L50" i="2" s="1"/>
  <c r="M45" i="1"/>
  <c r="M73" i="1"/>
  <c r="Q74" i="1"/>
  <c r="J74" i="1"/>
  <c r="P74" i="1"/>
  <c r="R74" i="1"/>
  <c r="Q46" i="1"/>
  <c r="J46" i="1"/>
  <c r="R46" i="1"/>
  <c r="Q19" i="1"/>
  <c r="R19" i="1"/>
  <c r="M46" i="1" l="1"/>
  <c r="D51" i="2"/>
  <c r="H51" i="2" s="1"/>
  <c r="L51" i="2" s="1"/>
  <c r="L19" i="1"/>
  <c r="M19" i="1" s="1"/>
  <c r="L20" i="1"/>
  <c r="M20" i="1" s="1"/>
  <c r="M74" i="1"/>
  <c r="Q75" i="1"/>
  <c r="J75" i="1"/>
  <c r="P75" i="1"/>
  <c r="R75" i="1"/>
  <c r="Q20" i="1"/>
  <c r="R20" i="1"/>
  <c r="D52" i="2" l="1"/>
  <c r="H52" i="2" s="1"/>
  <c r="L52" i="2" s="1"/>
  <c r="M75" i="1"/>
  <c r="Q76" i="1"/>
  <c r="J76" i="1"/>
  <c r="P76" i="1"/>
  <c r="R76" i="1"/>
  <c r="Q21" i="1"/>
  <c r="R21" i="1"/>
  <c r="W22" i="1"/>
  <c r="D53" i="2" l="1"/>
  <c r="H53" i="2" s="1"/>
  <c r="L53" i="2" s="1"/>
  <c r="M21" i="1"/>
  <c r="L22" i="1"/>
  <c r="M22" i="1" s="1"/>
  <c r="M76" i="1"/>
  <c r="Q77" i="1"/>
  <c r="J77" i="1"/>
  <c r="P77" i="1"/>
  <c r="R77" i="1"/>
  <c r="Q22" i="1"/>
  <c r="R22" i="1"/>
  <c r="D54" i="2" l="1"/>
  <c r="H54" i="2" s="1"/>
  <c r="L54" i="2" s="1"/>
  <c r="M77" i="1"/>
  <c r="Q23" i="1"/>
  <c r="R23" i="1"/>
  <c r="D55" i="2" l="1"/>
  <c r="H55" i="2" s="1"/>
  <c r="L55" i="2" s="1"/>
  <c r="L23" i="1"/>
  <c r="M23" i="1" s="1"/>
  <c r="L24" i="1"/>
  <c r="M24" i="1" s="1"/>
  <c r="Q24" i="1"/>
  <c r="R24" i="1"/>
  <c r="D56" i="2" l="1"/>
  <c r="H56" i="2" s="1"/>
  <c r="L56" i="2" s="1"/>
  <c r="D57" i="2" l="1"/>
  <c r="H57" i="2" s="1"/>
  <c r="L57" i="2" s="1"/>
  <c r="D58" i="2" l="1"/>
  <c r="H58" i="2" s="1"/>
  <c r="L58" i="2" s="1"/>
  <c r="D59" i="2" l="1"/>
  <c r="H59" i="2" s="1"/>
  <c r="L59" i="2" s="1"/>
  <c r="D60" i="2" l="1"/>
  <c r="H60" i="2" s="1"/>
  <c r="L60" i="2" s="1"/>
  <c r="D61" i="2" l="1"/>
  <c r="H61" i="2" s="1"/>
  <c r="L61" i="2" s="1"/>
  <c r="D62" i="2" l="1"/>
  <c r="H62" i="2" s="1"/>
  <c r="L62" i="2" s="1"/>
  <c r="D63" i="2" l="1"/>
  <c r="H63" i="2" s="1"/>
  <c r="L63" i="2" s="1"/>
  <c r="D64" i="2" l="1"/>
  <c r="H64" i="2" s="1"/>
  <c r="L64" i="2" s="1"/>
  <c r="D65" i="2" l="1"/>
  <c r="H65" i="2" s="1"/>
  <c r="L65" i="2" s="1"/>
  <c r="D66" i="2" l="1"/>
  <c r="H66" i="2" s="1"/>
  <c r="L66" i="2" s="1"/>
  <c r="D67" i="2" l="1"/>
  <c r="H67" i="2" s="1"/>
  <c r="L67" i="2" s="1"/>
  <c r="D68" i="2"/>
  <c r="H68" i="2" s="1"/>
  <c r="L68" i="2" l="1"/>
</calcChain>
</file>

<file path=xl/sharedStrings.xml><?xml version="1.0" encoding="utf-8"?>
<sst xmlns="http://schemas.openxmlformats.org/spreadsheetml/2006/main" count="595" uniqueCount="125">
  <si>
    <t>m</t>
  </si>
  <si>
    <t>B=</t>
  </si>
  <si>
    <t>ft</t>
  </si>
  <si>
    <t>yc=</t>
  </si>
  <si>
    <t>SOLVER</t>
  </si>
  <si>
    <r>
      <t>S</t>
    </r>
    <r>
      <rPr>
        <vertAlign val="subscript"/>
        <sz val="11"/>
        <color theme="1"/>
        <rFont val="Book Antiqua"/>
        <family val="1"/>
      </rPr>
      <t>0</t>
    </r>
    <r>
      <rPr>
        <sz val="11"/>
        <color theme="1"/>
        <rFont val="Book Antiqua"/>
        <family val="1"/>
      </rPr>
      <t>=</t>
    </r>
  </si>
  <si>
    <t>yn=</t>
  </si>
  <si>
    <t>Unknown</t>
  </si>
  <si>
    <t>yn</t>
  </si>
  <si>
    <t>n=</t>
  </si>
  <si>
    <r>
      <t>Q</t>
    </r>
    <r>
      <rPr>
        <vertAlign val="subscript"/>
        <sz val="11"/>
        <color theme="1"/>
        <rFont val="Book Antiqua"/>
        <family val="1"/>
      </rPr>
      <t>target</t>
    </r>
    <r>
      <rPr>
        <sz val="11"/>
        <color theme="1"/>
        <rFont val="Book Antiqua"/>
        <family val="1"/>
      </rPr>
      <t>=</t>
    </r>
  </si>
  <si>
    <t>cfs</t>
  </si>
  <si>
    <t>Constraint</t>
  </si>
  <si>
    <r>
      <t>Q</t>
    </r>
    <r>
      <rPr>
        <vertAlign val="subscript"/>
        <sz val="11"/>
        <color theme="1"/>
        <rFont val="Book Antiqua"/>
        <family val="1"/>
      </rPr>
      <t>target</t>
    </r>
    <r>
      <rPr>
        <sz val="11"/>
        <color theme="1"/>
        <rFont val="Book Antiqua"/>
        <family val="1"/>
      </rPr>
      <t>=Q</t>
    </r>
  </si>
  <si>
    <t>Q=</t>
  </si>
  <si>
    <t>w=</t>
  </si>
  <si>
    <t>Assumptions</t>
  </si>
  <si>
    <r>
      <t>C</t>
    </r>
    <r>
      <rPr>
        <vertAlign val="subscript"/>
        <sz val="11"/>
        <color theme="1"/>
        <rFont val="Book Antiqua"/>
        <family val="1"/>
      </rPr>
      <t>c</t>
    </r>
    <r>
      <rPr>
        <sz val="11"/>
        <color theme="1"/>
        <rFont val="Book Antiqua"/>
        <family val="1"/>
      </rPr>
      <t>=</t>
    </r>
  </si>
  <si>
    <t>g=</t>
  </si>
  <si>
    <r>
      <t>c</t>
    </r>
    <r>
      <rPr>
        <vertAlign val="subscript"/>
        <sz val="11"/>
        <color theme="1"/>
        <rFont val="Book Antiqua"/>
        <family val="1"/>
      </rPr>
      <t>M</t>
    </r>
    <r>
      <rPr>
        <sz val="11"/>
        <color theme="1"/>
        <rFont val="Book Antiqua"/>
        <family val="1"/>
      </rPr>
      <t>=</t>
    </r>
  </si>
  <si>
    <t>x</t>
  </si>
  <si>
    <t>z</t>
  </si>
  <si>
    <t>y</t>
  </si>
  <si>
    <t>A</t>
  </si>
  <si>
    <t>P</t>
  </si>
  <si>
    <t>V</t>
  </si>
  <si>
    <r>
      <t>V</t>
    </r>
    <r>
      <rPr>
        <vertAlign val="superscript"/>
        <sz val="11"/>
        <color theme="1"/>
        <rFont val="Book Antiqua"/>
        <family val="1"/>
      </rPr>
      <t>2</t>
    </r>
    <r>
      <rPr>
        <sz val="11"/>
        <color theme="1"/>
        <rFont val="Book Antiqua"/>
        <family val="1"/>
      </rPr>
      <t>/2g</t>
    </r>
  </si>
  <si>
    <t>Rh</t>
  </si>
  <si>
    <t>K</t>
  </si>
  <si>
    <t>H</t>
  </si>
  <si>
    <r>
      <t>S</t>
    </r>
    <r>
      <rPr>
        <vertAlign val="subscript"/>
        <sz val="11"/>
        <color theme="1"/>
        <rFont val="Book Antiqua"/>
        <family val="1"/>
      </rPr>
      <t>f</t>
    </r>
  </si>
  <si>
    <r>
      <t>h</t>
    </r>
    <r>
      <rPr>
        <vertAlign val="subscript"/>
        <sz val="11"/>
        <color theme="1"/>
        <rFont val="Book Antiqua"/>
        <family val="1"/>
      </rPr>
      <t>L,f</t>
    </r>
  </si>
  <si>
    <t>Energy Eq</t>
  </si>
  <si>
    <t>Fr2</t>
  </si>
  <si>
    <t>M</t>
  </si>
  <si>
    <t>Z</t>
  </si>
  <si>
    <t>Zc</t>
  </si>
  <si>
    <t>Zn</t>
  </si>
  <si>
    <r>
      <t>C</t>
    </r>
    <r>
      <rPr>
        <vertAlign val="subscript"/>
        <sz val="11"/>
        <color theme="1"/>
        <rFont val="Book Antiqua"/>
        <family val="1"/>
      </rPr>
      <t>d</t>
    </r>
    <r>
      <rPr>
        <sz val="11"/>
        <color theme="1"/>
        <rFont val="Book Antiqua"/>
        <family val="1"/>
      </rPr>
      <t>=</t>
    </r>
  </si>
  <si>
    <r>
      <t>m/s</t>
    </r>
    <r>
      <rPr>
        <vertAlign val="superscript"/>
        <sz val="11"/>
        <color theme="1"/>
        <rFont val="Book Antiqua"/>
        <family val="1"/>
      </rPr>
      <t>2</t>
    </r>
  </si>
  <si>
    <t>cum</t>
  </si>
  <si>
    <r>
      <t>m</t>
    </r>
    <r>
      <rPr>
        <vertAlign val="superscript"/>
        <sz val="11"/>
        <color theme="1"/>
        <rFont val="Book Antiqua"/>
        <family val="1"/>
      </rPr>
      <t>3</t>
    </r>
  </si>
  <si>
    <r>
      <t>m</t>
    </r>
    <r>
      <rPr>
        <vertAlign val="superscript"/>
        <sz val="11"/>
        <color theme="1"/>
        <rFont val="Book Antiqua"/>
        <family val="1"/>
      </rPr>
      <t>3</t>
    </r>
    <r>
      <rPr>
        <sz val="11"/>
        <color theme="1"/>
        <rFont val="Book Antiqua"/>
        <family val="1"/>
      </rPr>
      <t>/s</t>
    </r>
  </si>
  <si>
    <t>m/s</t>
  </si>
  <si>
    <r>
      <t>m</t>
    </r>
    <r>
      <rPr>
        <vertAlign val="superscript"/>
        <sz val="11"/>
        <color theme="1"/>
        <rFont val="Book Antiqua"/>
        <family val="1"/>
      </rPr>
      <t>2</t>
    </r>
  </si>
  <si>
    <t>Preliminary Calculations (upstream)</t>
  </si>
  <si>
    <t>Given Geometry Details (upstream)</t>
  </si>
  <si>
    <t>Given Geometry Details (downstream)</t>
  </si>
  <si>
    <t>Preliminary Calculations (downstream)</t>
  </si>
  <si>
    <t>C-D Reach</t>
  </si>
  <si>
    <t>x (ft)</t>
  </si>
  <si>
    <t>z (ft)</t>
  </si>
  <si>
    <t>y (ft)</t>
  </si>
  <si>
    <t>Z = y+z (ft)</t>
  </si>
  <si>
    <t>A (ft^2)</t>
  </si>
  <si>
    <t>Rh (ft)</t>
  </si>
  <si>
    <t>V^2/2g (ft)</t>
  </si>
  <si>
    <t>H = Z + V^2/2g (ft)</t>
  </si>
  <si>
    <t>K (cfs)</t>
  </si>
  <si>
    <t>Sf</t>
  </si>
  <si>
    <t>hL (ft)</t>
  </si>
  <si>
    <t>Residual</t>
  </si>
  <si>
    <t>Zc (ft)</t>
  </si>
  <si>
    <t>Zn (ft)</t>
  </si>
  <si>
    <t>A–B Reach</t>
  </si>
  <si>
    <t>V²/2g</t>
  </si>
  <si>
    <t>hL</t>
  </si>
  <si>
    <t>Branch 1 (B–C) Reach</t>
  </si>
  <si>
    <t>Branch 2 (B–C) Reach</t>
  </si>
  <si>
    <t>A_B_C_D dimensions</t>
  </si>
  <si>
    <t>So=</t>
  </si>
  <si>
    <t>Branch1 dimensions</t>
  </si>
  <si>
    <t>Branch2 dimensions</t>
  </si>
  <si>
    <t>Main</t>
  </si>
  <si>
    <t>Branch1</t>
  </si>
  <si>
    <t>Branch2</t>
  </si>
  <si>
    <t>Reach</t>
  </si>
  <si>
    <t>River Sta</t>
  </si>
  <si>
    <t>Profile</t>
  </si>
  <si>
    <t>Q Total</t>
  </si>
  <si>
    <t>Min Ch El</t>
  </si>
  <si>
    <t>W.S. Elev</t>
  </si>
  <si>
    <t>Crit W.S.</t>
  </si>
  <si>
    <t>E.G. Elev</t>
  </si>
  <si>
    <t>E.G. Slope</t>
  </si>
  <si>
    <t>Vel Chnl</t>
  </si>
  <si>
    <t>Flow Area</t>
  </si>
  <si>
    <t>Top Width</t>
  </si>
  <si>
    <t>Froude # Chl</t>
  </si>
  <si>
    <t>(m3/s)</t>
  </si>
  <si>
    <t>(m)</t>
  </si>
  <si>
    <t>(m/m)</t>
  </si>
  <si>
    <t>(m/s)</t>
  </si>
  <si>
    <t>(m2)</t>
  </si>
  <si>
    <t xml:space="preserve"> </t>
  </si>
  <si>
    <t>upper</t>
  </si>
  <si>
    <t>PF 1</t>
  </si>
  <si>
    <t xml:space="preserve">190.20* </t>
  </si>
  <si>
    <t xml:space="preserve">180.40* </t>
  </si>
  <si>
    <t xml:space="preserve">170.60* </t>
  </si>
  <si>
    <t xml:space="preserve">160.80* </t>
  </si>
  <si>
    <t>Inl Struct</t>
  </si>
  <si>
    <t xml:space="preserve">139.40* </t>
  </si>
  <si>
    <t xml:space="preserve">129.80* </t>
  </si>
  <si>
    <t xml:space="preserve">120.20* </t>
  </si>
  <si>
    <t xml:space="preserve">110.60* </t>
  </si>
  <si>
    <t xml:space="preserve">80.000* </t>
  </si>
  <si>
    <t xml:space="preserve">70.000* </t>
  </si>
  <si>
    <t xml:space="preserve">60.000* </t>
  </si>
  <si>
    <t xml:space="preserve">50.000* </t>
  </si>
  <si>
    <t xml:space="preserve">40.000* </t>
  </si>
  <si>
    <t xml:space="preserve">30.000* </t>
  </si>
  <si>
    <t xml:space="preserve">20.000* </t>
  </si>
  <si>
    <t xml:space="preserve">10.000* </t>
  </si>
  <si>
    <t>D/s condition 1</t>
  </si>
  <si>
    <t>D/s condition 1 with ineffective flow area</t>
  </si>
  <si>
    <t>Q1=</t>
  </si>
  <si>
    <t>Q2=</t>
  </si>
  <si>
    <t>Q1+Q2=</t>
  </si>
  <si>
    <t>Q</t>
  </si>
  <si>
    <t>delM</t>
  </si>
  <si>
    <t>Energy Balance:</t>
  </si>
  <si>
    <t>z- branch 2</t>
  </si>
  <si>
    <t>H-branch 2</t>
  </si>
  <si>
    <t>Z-branch2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</si>
</sst>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4" x14ac:knownFonts="1">
    <font>
      <sz val="11"/>
      <color theme="1"/>
      <name val="Calibri"/>
      <family val="2"/>
      <scheme val="minor"/>
    </font>
    <font>
      <sz val="11"/>
      <color theme="1"/>
      <name val="Book Antiqua"/>
      <family val="1"/>
    </font>
    <font>
      <vertAlign val="subscript"/>
      <sz val="11"/>
      <color theme="1"/>
      <name val="Book Antiqua"/>
      <family val="1"/>
    </font>
    <font>
      <vertAlign val="superscript"/>
      <sz val="11"/>
      <color theme="1"/>
      <name val="Book Antiqua"/>
      <family val="1"/>
    </font>
  </fonts>
  <fills count="7">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1" tint="0.34998626667073579"/>
        <bgColor indexed="64"/>
      </patternFill>
    </fill>
    <fill>
      <patternFill patternType="lightUp">
        <bgColor theme="2" tint="-9.9887081514938816E-2"/>
      </patternFill>
    </fill>
    <fill>
      <patternFill patternType="lightUp">
        <bgColor theme="1" tint="0.499984740745262"/>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64" fontId="1" fillId="0" borderId="0" xfId="0" applyNumberFormat="1" applyFont="1"/>
    <xf numFmtId="164" fontId="1" fillId="2" borderId="0" xfId="0" applyNumberFormat="1" applyFont="1" applyFill="1"/>
    <xf numFmtId="11" fontId="1" fillId="0" borderId="0" xfId="0" applyNumberFormat="1" applyFont="1"/>
    <xf numFmtId="2" fontId="1" fillId="3" borderId="0" xfId="0" applyNumberFormat="1" applyFont="1" applyFill="1"/>
    <xf numFmtId="165" fontId="1" fillId="3" borderId="0" xfId="0" applyNumberFormat="1" applyFont="1" applyFill="1"/>
    <xf numFmtId="0" fontId="1" fillId="2" borderId="0" xfId="0" applyFont="1" applyFill="1"/>
    <xf numFmtId="0" fontId="1" fillId="4" borderId="0" xfId="0" applyFont="1" applyFill="1"/>
    <xf numFmtId="164" fontId="1" fillId="4" borderId="0" xfId="0" applyNumberFormat="1" applyFont="1" applyFill="1"/>
    <xf numFmtId="165" fontId="1" fillId="0" borderId="0" xfId="0" applyNumberFormat="1" applyFont="1"/>
    <xf numFmtId="0" fontId="0" fillId="2" borderId="0" xfId="0" applyFill="1"/>
    <xf numFmtId="0" fontId="0" fillId="3" borderId="0" xfId="0" applyFill="1"/>
    <xf numFmtId="164" fontId="1" fillId="3" borderId="0" xfId="0" applyNumberFormat="1" applyFont="1" applyFill="1"/>
    <xf numFmtId="0" fontId="1" fillId="5" borderId="0" xfId="0" applyFont="1" applyFill="1"/>
    <xf numFmtId="165" fontId="1" fillId="5" borderId="0" xfId="0" applyNumberFormat="1" applyFont="1" applyFill="1"/>
    <xf numFmtId="164" fontId="1" fillId="5" borderId="0" xfId="0" applyNumberFormat="1" applyFont="1" applyFill="1"/>
    <xf numFmtId="0" fontId="1" fillId="6" borderId="0" xfId="0" applyFont="1" applyFill="1"/>
    <xf numFmtId="164" fontId="1" fillId="6" borderId="0" xfId="0" applyNumberFormat="1" applyFont="1" applyFill="1"/>
    <xf numFmtId="165" fontId="1" fillId="6" borderId="0" xfId="0" applyNumberFormat="1" applyFont="1" applyFill="1"/>
    <xf numFmtId="164" fontId="0" fillId="0" borderId="0" xfId="0" applyNumberFormat="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subcritical</c:v>
          </c:tx>
          <c:spPr>
            <a:ln w="19050" cap="rnd">
              <a:solidFill>
                <a:schemeClr val="accent1"/>
              </a:solidFill>
              <a:round/>
            </a:ln>
            <a:effectLst/>
          </c:spPr>
          <c:marker>
            <c:symbol val="none"/>
          </c:marker>
          <c:xVal>
            <c:numRef>
              <c:f>'(Case 1)'!$A$15:$A$24</c:f>
              <c:numCache>
                <c:formatCode>General</c:formatCode>
                <c:ptCount val="10"/>
                <c:pt idx="0">
                  <c:v>0</c:v>
                </c:pt>
                <c:pt idx="1">
                  <c:v>20</c:v>
                </c:pt>
                <c:pt idx="2">
                  <c:v>40</c:v>
                </c:pt>
                <c:pt idx="3">
                  <c:v>60</c:v>
                </c:pt>
                <c:pt idx="4">
                  <c:v>80</c:v>
                </c:pt>
                <c:pt idx="5">
                  <c:v>100</c:v>
                </c:pt>
                <c:pt idx="6">
                  <c:v>100</c:v>
                </c:pt>
                <c:pt idx="7">
                  <c:v>120</c:v>
                </c:pt>
                <c:pt idx="8">
                  <c:v>140</c:v>
                </c:pt>
                <c:pt idx="9">
                  <c:v>150</c:v>
                </c:pt>
              </c:numCache>
            </c:numRef>
          </c:xVal>
          <c:yVal>
            <c:numRef>
              <c:f>'(Case 1)'!$O$15:$O$24</c:f>
              <c:numCache>
                <c:formatCode>0.000</c:formatCode>
                <c:ptCount val="10"/>
                <c:pt idx="0">
                  <c:v>1.0708292166549047</c:v>
                </c:pt>
                <c:pt idx="1">
                  <c:v>1.020884333987377</c:v>
                </c:pt>
                <c:pt idx="2">
                  <c:v>0.97559150573948772</c:v>
                </c:pt>
                <c:pt idx="3">
                  <c:v>0.93495368562785119</c:v>
                </c:pt>
                <c:pt idx="4">
                  <c:v>0.89893839960387822</c:v>
                </c:pt>
                <c:pt idx="5">
                  <c:v>0.86746559432046078</c:v>
                </c:pt>
                <c:pt idx="6">
                  <c:v>0.78557893443344062</c:v>
                </c:pt>
                <c:pt idx="7">
                  <c:v>0.82735751833311366</c:v>
                </c:pt>
                <c:pt idx="8">
                  <c:v>0.84638558735549874</c:v>
                </c:pt>
                <c:pt idx="9">
                  <c:v>0.85365097231323483</c:v>
                </c:pt>
              </c:numCache>
            </c:numRef>
          </c:yVal>
          <c:smooth val="1"/>
          <c:extLst>
            <c:ext xmlns:c16="http://schemas.microsoft.com/office/drawing/2014/chart" uri="{C3380CC4-5D6E-409C-BE32-E72D297353CC}">
              <c16:uniqueId val="{00000000-8477-433A-A7E5-BD49A1132287}"/>
            </c:ext>
          </c:extLst>
        </c:ser>
        <c:ser>
          <c:idx val="1"/>
          <c:order val="1"/>
          <c:tx>
            <c:v>supercritical</c:v>
          </c:tx>
          <c:spPr>
            <a:ln w="19050" cap="rnd">
              <a:solidFill>
                <a:schemeClr val="accent2"/>
              </a:solidFill>
              <a:round/>
            </a:ln>
            <a:effectLst/>
          </c:spPr>
          <c:marker>
            <c:symbol val="none"/>
          </c:marker>
          <c:xVal>
            <c:numRef>
              <c:f>'(Case 1)'!$A$43:$A$46</c:f>
              <c:numCache>
                <c:formatCode>General</c:formatCode>
                <c:ptCount val="4"/>
                <c:pt idx="0">
                  <c:v>150</c:v>
                </c:pt>
                <c:pt idx="1">
                  <c:v>140</c:v>
                </c:pt>
                <c:pt idx="2">
                  <c:v>130</c:v>
                </c:pt>
                <c:pt idx="3">
                  <c:v>120</c:v>
                </c:pt>
              </c:numCache>
            </c:numRef>
          </c:xVal>
          <c:yVal>
            <c:numRef>
              <c:f>'(Case 1)'!$O$43:$O$46</c:f>
              <c:numCache>
                <c:formatCode>0.000</c:formatCode>
                <c:ptCount val="4"/>
                <c:pt idx="0">
                  <c:v>1.188618302050062</c:v>
                </c:pt>
                <c:pt idx="1">
                  <c:v>1.008940840290097</c:v>
                </c:pt>
                <c:pt idx="2">
                  <c:v>0.89257022026935373</c:v>
                </c:pt>
                <c:pt idx="3">
                  <c:v>0.81763317306083449</c:v>
                </c:pt>
              </c:numCache>
            </c:numRef>
          </c:yVal>
          <c:smooth val="1"/>
          <c:extLst>
            <c:ext xmlns:c16="http://schemas.microsoft.com/office/drawing/2014/chart" uri="{C3380CC4-5D6E-409C-BE32-E72D297353CC}">
              <c16:uniqueId val="{00000001-8477-433A-A7E5-BD49A1132287}"/>
            </c:ext>
          </c:extLst>
        </c:ser>
        <c:dLbls>
          <c:showLegendKey val="0"/>
          <c:showVal val="0"/>
          <c:showCatName val="0"/>
          <c:showSerName val="0"/>
          <c:showPercent val="0"/>
          <c:showBubbleSize val="0"/>
        </c:dLbls>
        <c:axId val="948440544"/>
        <c:axId val="948437184"/>
      </c:scatterChart>
      <c:valAx>
        <c:axId val="948440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37184"/>
        <c:crosses val="autoZero"/>
        <c:crossBetween val="midCat"/>
      </c:valAx>
      <c:valAx>
        <c:axId val="948437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4054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'(Case 1)'!$X$13:$X$14</c:f>
              <c:strCache>
                <c:ptCount val="2"/>
                <c:pt idx="0">
                  <c:v>z</c:v>
                </c:pt>
                <c:pt idx="1">
                  <c:v>m</c:v>
                </c:pt>
              </c:strCache>
            </c:strRef>
          </c:tx>
          <c:spPr>
            <a:ln w="28575" cap="rnd">
              <a:solidFill>
                <a:schemeClr val="tx1"/>
              </a:solidFill>
              <a:round/>
            </a:ln>
            <a:effectLst/>
          </c:spPr>
          <c:marker>
            <c:symbol val="none"/>
          </c:marker>
          <c:xVal>
            <c:numRef>
              <c:f>'(Case 1)'!$W$15:$W$31</c:f>
              <c:numCache>
                <c:formatCode>General</c:formatCode>
                <c:ptCount val="17"/>
                <c:pt idx="0">
                  <c:v>0</c:v>
                </c:pt>
                <c:pt idx="1">
                  <c:v>20</c:v>
                </c:pt>
                <c:pt idx="2">
                  <c:v>40</c:v>
                </c:pt>
                <c:pt idx="3">
                  <c:v>60</c:v>
                </c:pt>
                <c:pt idx="4">
                  <c:v>80</c:v>
                </c:pt>
                <c:pt idx="5">
                  <c:v>100</c:v>
                </c:pt>
                <c:pt idx="6">
                  <c:v>100</c:v>
                </c:pt>
                <c:pt idx="7">
                  <c:v>120</c:v>
                </c:pt>
                <c:pt idx="8">
                  <c:v>130</c:v>
                </c:pt>
                <c:pt idx="9">
                  <c:v>140</c:v>
                </c:pt>
                <c:pt idx="10">
                  <c:v>150</c:v>
                </c:pt>
                <c:pt idx="11">
                  <c:v>150</c:v>
                </c:pt>
                <c:pt idx="12">
                  <c:v>160</c:v>
                </c:pt>
                <c:pt idx="13">
                  <c:v>170</c:v>
                </c:pt>
                <c:pt idx="14">
                  <c:v>180</c:v>
                </c:pt>
                <c:pt idx="15">
                  <c:v>190</c:v>
                </c:pt>
                <c:pt idx="16">
                  <c:v>200</c:v>
                </c:pt>
              </c:numCache>
            </c:numRef>
          </c:xVal>
          <c:yVal>
            <c:numRef>
              <c:f>'(Case 1)'!$X$15:$X$31</c:f>
              <c:numCache>
                <c:formatCode>General</c:formatCode>
                <c:ptCount val="17"/>
                <c:pt idx="0">
                  <c:v>0</c:v>
                </c:pt>
                <c:pt idx="1">
                  <c:v>0.03</c:v>
                </c:pt>
                <c:pt idx="2">
                  <c:v>0.06</c:v>
                </c:pt>
                <c:pt idx="3">
                  <c:v>0.09</c:v>
                </c:pt>
                <c:pt idx="4">
                  <c:v>0.12</c:v>
                </c:pt>
                <c:pt idx="5">
                  <c:v>0.15</c:v>
                </c:pt>
                <c:pt idx="6">
                  <c:v>0.15</c:v>
                </c:pt>
                <c:pt idx="7">
                  <c:v>0.18</c:v>
                </c:pt>
                <c:pt idx="8">
                  <c:v>0.19500000000000001</c:v>
                </c:pt>
                <c:pt idx="9">
                  <c:v>0.21000000000000002</c:v>
                </c:pt>
                <c:pt idx="10">
                  <c:v>0.22500000000000001</c:v>
                </c:pt>
                <c:pt idx="11">
                  <c:v>0.22500000000000001</c:v>
                </c:pt>
                <c:pt idx="12">
                  <c:v>0.24</c:v>
                </c:pt>
                <c:pt idx="13">
                  <c:v>0.255</c:v>
                </c:pt>
                <c:pt idx="14">
                  <c:v>0.27</c:v>
                </c:pt>
                <c:pt idx="15">
                  <c:v>0.28500000000000003</c:v>
                </c:pt>
                <c:pt idx="16">
                  <c:v>0.3</c:v>
                </c:pt>
              </c:numCache>
            </c:numRef>
          </c:yVal>
          <c:smooth val="1"/>
          <c:extLst>
            <c:ext xmlns:c16="http://schemas.microsoft.com/office/drawing/2014/chart" uri="{C3380CC4-5D6E-409C-BE32-E72D297353CC}">
              <c16:uniqueId val="{00000000-8118-4631-AA70-3ED445DC07AF}"/>
            </c:ext>
          </c:extLst>
        </c:ser>
        <c:ser>
          <c:idx val="1"/>
          <c:order val="1"/>
          <c:tx>
            <c:strRef>
              <c:f>'(Case 1)'!$Y$13:$Y$14</c:f>
              <c:strCache>
                <c:ptCount val="2"/>
                <c:pt idx="0">
                  <c:v>Z</c:v>
                </c:pt>
                <c:pt idx="1">
                  <c:v>m</c:v>
                </c:pt>
              </c:strCache>
            </c:strRef>
          </c:tx>
          <c:spPr>
            <a:ln w="28575" cap="rnd">
              <a:solidFill>
                <a:srgbClr val="0070C0"/>
              </a:solidFill>
              <a:prstDash val="dash"/>
              <a:round/>
            </a:ln>
            <a:effectLst/>
          </c:spPr>
          <c:marker>
            <c:symbol val="none"/>
          </c:marker>
          <c:xVal>
            <c:numRef>
              <c:f>'(Case 1)'!$W$15:$W$31</c:f>
              <c:numCache>
                <c:formatCode>General</c:formatCode>
                <c:ptCount val="17"/>
                <c:pt idx="0">
                  <c:v>0</c:v>
                </c:pt>
                <c:pt idx="1">
                  <c:v>20</c:v>
                </c:pt>
                <c:pt idx="2">
                  <c:v>40</c:v>
                </c:pt>
                <c:pt idx="3">
                  <c:v>60</c:v>
                </c:pt>
                <c:pt idx="4">
                  <c:v>80</c:v>
                </c:pt>
                <c:pt idx="5">
                  <c:v>100</c:v>
                </c:pt>
                <c:pt idx="6">
                  <c:v>100</c:v>
                </c:pt>
                <c:pt idx="7">
                  <c:v>120</c:v>
                </c:pt>
                <c:pt idx="8">
                  <c:v>130</c:v>
                </c:pt>
                <c:pt idx="9">
                  <c:v>140</c:v>
                </c:pt>
                <c:pt idx="10">
                  <c:v>150</c:v>
                </c:pt>
                <c:pt idx="11">
                  <c:v>150</c:v>
                </c:pt>
                <c:pt idx="12">
                  <c:v>160</c:v>
                </c:pt>
                <c:pt idx="13">
                  <c:v>170</c:v>
                </c:pt>
                <c:pt idx="14">
                  <c:v>180</c:v>
                </c:pt>
                <c:pt idx="15">
                  <c:v>190</c:v>
                </c:pt>
                <c:pt idx="16">
                  <c:v>200</c:v>
                </c:pt>
              </c:numCache>
            </c:numRef>
          </c:xVal>
          <c:yVal>
            <c:numRef>
              <c:f>'(Case 1)'!$Y$15:$Y$31</c:f>
              <c:numCache>
                <c:formatCode>0.000</c:formatCode>
                <c:ptCount val="17"/>
                <c:pt idx="0">
                  <c:v>0.65</c:v>
                </c:pt>
                <c:pt idx="1">
                  <c:v>0.65724030629741614</c:v>
                </c:pt>
                <c:pt idx="2">
                  <c:v>0.66545296899469952</c:v>
                </c:pt>
                <c:pt idx="3">
                  <c:v>0.67478138119113917</c:v>
                </c:pt>
                <c:pt idx="4">
                  <c:v>0.68538022465057724</c:v>
                </c:pt>
                <c:pt idx="5">
                  <c:v>0.69740903079784888</c:v>
                </c:pt>
                <c:pt idx="6">
                  <c:v>0.61713635126797373</c:v>
                </c:pt>
                <c:pt idx="7">
                  <c:v>0.76278465909364446</c:v>
                </c:pt>
                <c:pt idx="8" formatCode="General">
                  <c:v>0.51186736095411411</c:v>
                </c:pt>
                <c:pt idx="9" formatCode="General">
                  <c:v>0.47448527157060127</c:v>
                </c:pt>
                <c:pt idx="10" formatCode="General">
                  <c:v>0.441</c:v>
                </c:pt>
                <c:pt idx="11" formatCode="General">
                  <c:v>1.5021834822007496</c:v>
                </c:pt>
                <c:pt idx="12" formatCode="General">
                  <c:v>1.5041898406512249</c:v>
                </c:pt>
                <c:pt idx="13" formatCode="General">
                  <c:v>1.5062519255354334</c:v>
                </c:pt>
                <c:pt idx="14" formatCode="General">
                  <c:v>1.5083718332592395</c:v>
                </c:pt>
                <c:pt idx="15" formatCode="General">
                  <c:v>1.5105517518891123</c:v>
                </c:pt>
                <c:pt idx="16" formatCode="General">
                  <c:v>1.5127939652750151</c:v>
                </c:pt>
              </c:numCache>
            </c:numRef>
          </c:yVal>
          <c:smooth val="1"/>
          <c:extLst>
            <c:ext xmlns:c16="http://schemas.microsoft.com/office/drawing/2014/chart" uri="{C3380CC4-5D6E-409C-BE32-E72D297353CC}">
              <c16:uniqueId val="{00000001-8118-4631-AA70-3ED445DC07AF}"/>
            </c:ext>
          </c:extLst>
        </c:ser>
        <c:ser>
          <c:idx val="2"/>
          <c:order val="2"/>
          <c:tx>
            <c:v>zc d/s</c:v>
          </c:tx>
          <c:spPr>
            <a:ln w="28575" cap="rnd">
              <a:solidFill>
                <a:srgbClr val="FF0000"/>
              </a:solidFill>
              <a:round/>
            </a:ln>
            <a:effectLst/>
          </c:spPr>
          <c:marker>
            <c:symbol val="none"/>
          </c:marker>
          <c:xVal>
            <c:numRef>
              <c:f>'(Case 1)'!$W$15:$W$20</c:f>
              <c:numCache>
                <c:formatCode>General</c:formatCode>
                <c:ptCount val="6"/>
                <c:pt idx="0">
                  <c:v>0</c:v>
                </c:pt>
                <c:pt idx="1">
                  <c:v>20</c:v>
                </c:pt>
                <c:pt idx="2">
                  <c:v>40</c:v>
                </c:pt>
                <c:pt idx="3">
                  <c:v>60</c:v>
                </c:pt>
                <c:pt idx="4">
                  <c:v>80</c:v>
                </c:pt>
                <c:pt idx="5">
                  <c:v>100</c:v>
                </c:pt>
              </c:numCache>
            </c:numRef>
          </c:xVal>
          <c:yVal>
            <c:numRef>
              <c:f>'(Case 1)'!$Z$15:$Z$20</c:f>
              <c:numCache>
                <c:formatCode>0.000</c:formatCode>
                <c:ptCount val="6"/>
                <c:pt idx="0">
                  <c:v>0.33231083202179479</c:v>
                </c:pt>
                <c:pt idx="1">
                  <c:v>0.36231083202179482</c:v>
                </c:pt>
                <c:pt idx="2">
                  <c:v>0.39231083202179479</c:v>
                </c:pt>
                <c:pt idx="3">
                  <c:v>0.42231083202179476</c:v>
                </c:pt>
                <c:pt idx="4">
                  <c:v>0.45231083202179478</c:v>
                </c:pt>
                <c:pt idx="5">
                  <c:v>0.48231083202179481</c:v>
                </c:pt>
              </c:numCache>
            </c:numRef>
          </c:yVal>
          <c:smooth val="1"/>
          <c:extLst>
            <c:ext xmlns:c16="http://schemas.microsoft.com/office/drawing/2014/chart" uri="{C3380CC4-5D6E-409C-BE32-E72D297353CC}">
              <c16:uniqueId val="{00000002-8118-4631-AA70-3ED445DC07AF}"/>
            </c:ext>
          </c:extLst>
        </c:ser>
        <c:ser>
          <c:idx val="3"/>
          <c:order val="3"/>
          <c:tx>
            <c:v>zn d/s</c:v>
          </c:tx>
          <c:spPr>
            <a:ln w="28575" cap="rnd">
              <a:solidFill>
                <a:schemeClr val="tx1">
                  <a:lumMod val="50000"/>
                  <a:lumOff val="50000"/>
                </a:schemeClr>
              </a:solidFill>
              <a:round/>
            </a:ln>
            <a:effectLst/>
          </c:spPr>
          <c:marker>
            <c:symbol val="none"/>
          </c:marker>
          <c:xVal>
            <c:numRef>
              <c:f>'(Case 1)'!$W$15:$W$20</c:f>
              <c:numCache>
                <c:formatCode>General</c:formatCode>
                <c:ptCount val="6"/>
                <c:pt idx="0">
                  <c:v>0</c:v>
                </c:pt>
                <c:pt idx="1">
                  <c:v>20</c:v>
                </c:pt>
                <c:pt idx="2">
                  <c:v>40</c:v>
                </c:pt>
                <c:pt idx="3">
                  <c:v>60</c:v>
                </c:pt>
                <c:pt idx="4">
                  <c:v>80</c:v>
                </c:pt>
                <c:pt idx="5">
                  <c:v>100</c:v>
                </c:pt>
              </c:numCache>
            </c:numRef>
          </c:xVal>
          <c:yVal>
            <c:numRef>
              <c:f>'(Case 1)'!$AA$15:$AA$20</c:f>
              <c:numCache>
                <c:formatCode>0.000</c:formatCode>
                <c:ptCount val="6"/>
                <c:pt idx="0">
                  <c:v>0.45197290042911753</c:v>
                </c:pt>
                <c:pt idx="1">
                  <c:v>0.48197290042911756</c:v>
                </c:pt>
                <c:pt idx="2">
                  <c:v>0.51197290042911758</c:v>
                </c:pt>
                <c:pt idx="3">
                  <c:v>0.5419729004291175</c:v>
                </c:pt>
                <c:pt idx="4">
                  <c:v>0.57197290042911753</c:v>
                </c:pt>
                <c:pt idx="5">
                  <c:v>0.60197290042911755</c:v>
                </c:pt>
              </c:numCache>
            </c:numRef>
          </c:yVal>
          <c:smooth val="1"/>
          <c:extLst>
            <c:ext xmlns:c16="http://schemas.microsoft.com/office/drawing/2014/chart" uri="{C3380CC4-5D6E-409C-BE32-E72D297353CC}">
              <c16:uniqueId val="{00000003-8118-4631-AA70-3ED445DC07AF}"/>
            </c:ext>
          </c:extLst>
        </c:ser>
        <c:ser>
          <c:idx val="4"/>
          <c:order val="4"/>
          <c:tx>
            <c:strRef>
              <c:f>'(Case 1)'!$AB$13:$AB$14</c:f>
              <c:strCache>
                <c:ptCount val="2"/>
                <c:pt idx="0">
                  <c:v>H</c:v>
                </c:pt>
                <c:pt idx="1">
                  <c:v>m</c:v>
                </c:pt>
              </c:strCache>
            </c:strRef>
          </c:tx>
          <c:spPr>
            <a:ln w="28575" cap="rnd">
              <a:solidFill>
                <a:srgbClr val="00B050"/>
              </a:solidFill>
              <a:round/>
            </a:ln>
            <a:effectLst/>
          </c:spPr>
          <c:marker>
            <c:symbol val="none"/>
          </c:marker>
          <c:xVal>
            <c:numRef>
              <c:f>'(Case 1)'!$W$15:$W$31</c:f>
              <c:numCache>
                <c:formatCode>General</c:formatCode>
                <c:ptCount val="17"/>
                <c:pt idx="0">
                  <c:v>0</c:v>
                </c:pt>
                <c:pt idx="1">
                  <c:v>20</c:v>
                </c:pt>
                <c:pt idx="2">
                  <c:v>40</c:v>
                </c:pt>
                <c:pt idx="3">
                  <c:v>60</c:v>
                </c:pt>
                <c:pt idx="4">
                  <c:v>80</c:v>
                </c:pt>
                <c:pt idx="5">
                  <c:v>100</c:v>
                </c:pt>
                <c:pt idx="6">
                  <c:v>100</c:v>
                </c:pt>
                <c:pt idx="7">
                  <c:v>120</c:v>
                </c:pt>
                <c:pt idx="8">
                  <c:v>130</c:v>
                </c:pt>
                <c:pt idx="9">
                  <c:v>140</c:v>
                </c:pt>
                <c:pt idx="10">
                  <c:v>150</c:v>
                </c:pt>
                <c:pt idx="11">
                  <c:v>150</c:v>
                </c:pt>
                <c:pt idx="12">
                  <c:v>160</c:v>
                </c:pt>
                <c:pt idx="13">
                  <c:v>170</c:v>
                </c:pt>
                <c:pt idx="14">
                  <c:v>180</c:v>
                </c:pt>
                <c:pt idx="15">
                  <c:v>190</c:v>
                </c:pt>
                <c:pt idx="16">
                  <c:v>200</c:v>
                </c:pt>
              </c:numCache>
            </c:numRef>
          </c:xVal>
          <c:yVal>
            <c:numRef>
              <c:f>'(Case 1)'!$AB$15:$AB$31</c:f>
              <c:numCache>
                <c:formatCode>General</c:formatCode>
                <c:ptCount val="17"/>
                <c:pt idx="0">
                  <c:v>0.69342869551055863</c:v>
                </c:pt>
                <c:pt idx="1">
                  <c:v>0.7038778405784677</c:v>
                </c:pt>
                <c:pt idx="2">
                  <c:v>0.71550741641384685</c:v>
                </c:pt>
                <c:pt idx="3">
                  <c:v>0.72843715027977829</c:v>
                </c:pt>
                <c:pt idx="4">
                  <c:v>0.74278159620377893</c:v>
                </c:pt>
                <c:pt idx="5">
                  <c:v>0.7586411911285682</c:v>
                </c:pt>
                <c:pt idx="6">
                  <c:v>0.85070452690196052</c:v>
                </c:pt>
                <c:pt idx="7" formatCode="0.000">
                  <c:v>0.91356138615164695</c:v>
                </c:pt>
                <c:pt idx="8" formatCode="0.000">
                  <c:v>1.0194958450900011</c:v>
                </c:pt>
                <c:pt idx="9" formatCode="0.000">
                  <c:v>1.2031001109904418</c:v>
                </c:pt>
                <c:pt idx="10" formatCode="0.000">
                  <c:v>1.5334296894772979</c:v>
                </c:pt>
                <c:pt idx="11">
                  <c:v>1.533429480918036</c:v>
                </c:pt>
                <c:pt idx="12">
                  <c:v>1.5360814477612028</c:v>
                </c:pt>
                <c:pt idx="13">
                  <c:v>1.5388064592562736</c:v>
                </c:pt>
                <c:pt idx="14">
                  <c:v>1.5416070768422541</c:v>
                </c:pt>
                <c:pt idx="15">
                  <c:v>1.5444859574832177</c:v>
                </c:pt>
                <c:pt idx="16">
                  <c:v>1.5474458564940023</c:v>
                </c:pt>
              </c:numCache>
            </c:numRef>
          </c:yVal>
          <c:smooth val="1"/>
          <c:extLst>
            <c:ext xmlns:c16="http://schemas.microsoft.com/office/drawing/2014/chart" uri="{C3380CC4-5D6E-409C-BE32-E72D297353CC}">
              <c16:uniqueId val="{00000004-8118-4631-AA70-3ED445DC07AF}"/>
            </c:ext>
          </c:extLst>
        </c:ser>
        <c:ser>
          <c:idx val="5"/>
          <c:order val="5"/>
          <c:tx>
            <c:v>zc u/s</c:v>
          </c:tx>
          <c:spPr>
            <a:ln w="28575" cap="rnd">
              <a:solidFill>
                <a:srgbClr val="FF0000"/>
              </a:solidFill>
              <a:round/>
            </a:ln>
            <a:effectLst/>
          </c:spPr>
          <c:marker>
            <c:symbol val="none"/>
          </c:marker>
          <c:xVal>
            <c:numRef>
              <c:f>'(Case 1)'!$W$21:$W$31</c:f>
              <c:numCache>
                <c:formatCode>General</c:formatCode>
                <c:ptCount val="11"/>
                <c:pt idx="0">
                  <c:v>100</c:v>
                </c:pt>
                <c:pt idx="1">
                  <c:v>120</c:v>
                </c:pt>
                <c:pt idx="2">
                  <c:v>130</c:v>
                </c:pt>
                <c:pt idx="3">
                  <c:v>140</c:v>
                </c:pt>
                <c:pt idx="4">
                  <c:v>150</c:v>
                </c:pt>
                <c:pt idx="5">
                  <c:v>150</c:v>
                </c:pt>
                <c:pt idx="6">
                  <c:v>160</c:v>
                </c:pt>
                <c:pt idx="7">
                  <c:v>170</c:v>
                </c:pt>
                <c:pt idx="8">
                  <c:v>180</c:v>
                </c:pt>
                <c:pt idx="9">
                  <c:v>190</c:v>
                </c:pt>
                <c:pt idx="10">
                  <c:v>200</c:v>
                </c:pt>
              </c:numCache>
            </c:numRef>
          </c:xVal>
          <c:yVal>
            <c:numRef>
              <c:f>'(Case 1)'!$Z$21:$Z$31</c:f>
              <c:numCache>
                <c:formatCode>0.000</c:formatCode>
                <c:ptCount val="11"/>
                <c:pt idx="0">
                  <c:v>0.61713635126797373</c:v>
                </c:pt>
                <c:pt idx="1">
                  <c:v>0.64713635126797375</c:v>
                </c:pt>
                <c:pt idx="2">
                  <c:v>0.66213635126797377</c:v>
                </c:pt>
                <c:pt idx="3">
                  <c:v>0.67713635126797378</c:v>
                </c:pt>
                <c:pt idx="4">
                  <c:v>0.69213635126797379</c:v>
                </c:pt>
                <c:pt idx="5">
                  <c:v>0.69213635126797379</c:v>
                </c:pt>
                <c:pt idx="6">
                  <c:v>0.70713635126797381</c:v>
                </c:pt>
                <c:pt idx="7">
                  <c:v>0.72213635126797371</c:v>
                </c:pt>
                <c:pt idx="8">
                  <c:v>0.73713635126797383</c:v>
                </c:pt>
                <c:pt idx="9">
                  <c:v>0.75213635126797374</c:v>
                </c:pt>
                <c:pt idx="10">
                  <c:v>0.76713635126797375</c:v>
                </c:pt>
              </c:numCache>
            </c:numRef>
          </c:yVal>
          <c:smooth val="1"/>
          <c:extLst>
            <c:ext xmlns:c16="http://schemas.microsoft.com/office/drawing/2014/chart" uri="{C3380CC4-5D6E-409C-BE32-E72D297353CC}">
              <c16:uniqueId val="{00000005-8118-4631-AA70-3ED445DC07AF}"/>
            </c:ext>
          </c:extLst>
        </c:ser>
        <c:ser>
          <c:idx val="6"/>
          <c:order val="6"/>
          <c:tx>
            <c:v>zn u/s</c:v>
          </c:tx>
          <c:spPr>
            <a:ln w="28575" cap="rnd">
              <a:solidFill>
                <a:schemeClr val="tx1">
                  <a:lumMod val="65000"/>
                  <a:lumOff val="35000"/>
                </a:schemeClr>
              </a:solidFill>
              <a:round/>
            </a:ln>
            <a:effectLst/>
          </c:spPr>
          <c:marker>
            <c:symbol val="none"/>
          </c:marker>
          <c:xVal>
            <c:numRef>
              <c:f>'(Case 1)'!$W$21:$W$31</c:f>
              <c:numCache>
                <c:formatCode>General</c:formatCode>
                <c:ptCount val="11"/>
                <c:pt idx="0">
                  <c:v>100</c:v>
                </c:pt>
                <c:pt idx="1">
                  <c:v>120</c:v>
                </c:pt>
                <c:pt idx="2">
                  <c:v>130</c:v>
                </c:pt>
                <c:pt idx="3">
                  <c:v>140</c:v>
                </c:pt>
                <c:pt idx="4">
                  <c:v>150</c:v>
                </c:pt>
                <c:pt idx="5">
                  <c:v>150</c:v>
                </c:pt>
                <c:pt idx="6">
                  <c:v>160</c:v>
                </c:pt>
                <c:pt idx="7">
                  <c:v>170</c:v>
                </c:pt>
                <c:pt idx="8">
                  <c:v>180</c:v>
                </c:pt>
                <c:pt idx="9">
                  <c:v>190</c:v>
                </c:pt>
                <c:pt idx="10">
                  <c:v>200</c:v>
                </c:pt>
              </c:numCache>
            </c:numRef>
          </c:xVal>
          <c:yVal>
            <c:numRef>
              <c:f>'(Case 1)'!$AA$21:$AA$31</c:f>
              <c:numCache>
                <c:formatCode>0.000</c:formatCode>
                <c:ptCount val="11"/>
                <c:pt idx="0">
                  <c:v>0.82702472853137121</c:v>
                </c:pt>
                <c:pt idx="1">
                  <c:v>0.85702472853137124</c:v>
                </c:pt>
                <c:pt idx="2">
                  <c:v>0.87202472853137114</c:v>
                </c:pt>
                <c:pt idx="3">
                  <c:v>0.88702472853137126</c:v>
                </c:pt>
                <c:pt idx="4">
                  <c:v>0.90202472853137117</c:v>
                </c:pt>
                <c:pt idx="5">
                  <c:v>0.90202472853137117</c:v>
                </c:pt>
                <c:pt idx="6">
                  <c:v>0.91702472853137118</c:v>
                </c:pt>
                <c:pt idx="7">
                  <c:v>0.93202472853137119</c:v>
                </c:pt>
                <c:pt idx="8">
                  <c:v>0.94702472853137121</c:v>
                </c:pt>
                <c:pt idx="9">
                  <c:v>0.96202472853137122</c:v>
                </c:pt>
                <c:pt idx="10">
                  <c:v>0.97702472853137112</c:v>
                </c:pt>
              </c:numCache>
            </c:numRef>
          </c:yVal>
          <c:smooth val="1"/>
          <c:extLst>
            <c:ext xmlns:c16="http://schemas.microsoft.com/office/drawing/2014/chart" uri="{C3380CC4-5D6E-409C-BE32-E72D297353CC}">
              <c16:uniqueId val="{00000006-8118-4631-AA70-3ED445DC07AF}"/>
            </c:ext>
          </c:extLst>
        </c:ser>
        <c:dLbls>
          <c:showLegendKey val="0"/>
          <c:showVal val="0"/>
          <c:showCatName val="0"/>
          <c:showSerName val="0"/>
          <c:showPercent val="0"/>
          <c:showBubbleSize val="0"/>
        </c:dLbls>
        <c:axId val="1424837151"/>
        <c:axId val="1424834751"/>
      </c:scatterChart>
      <c:valAx>
        <c:axId val="1424837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X&lt;--+ve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4751"/>
        <c:crosses val="autoZero"/>
        <c:crossBetween val="midCat"/>
        <c:majorUnit val="50"/>
      </c:valAx>
      <c:valAx>
        <c:axId val="142483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rPr>
                  <a:t>Elevation</a:t>
                </a:r>
                <a:endParaRPr lang="en-US" b="1"/>
              </a:p>
            </c:rich>
          </c:tx>
          <c:layout>
            <c:manualLayout>
              <c:xMode val="edge"/>
              <c:yMode val="edge"/>
              <c:x val="2.609726677365861E-2"/>
              <c:y val="0.367741393616194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7151"/>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zc d/s</c:v>
          </c:tx>
          <c:spPr>
            <a:ln w="28575" cap="rnd">
              <a:solidFill>
                <a:srgbClr val="FF0000"/>
              </a:solidFill>
              <a:round/>
            </a:ln>
            <a:effectLst/>
          </c:spPr>
          <c:marker>
            <c:symbol val="none"/>
          </c:marker>
          <c:xVal>
            <c:numRef>
              <c:f>'Island Problem'!$A$13:$A$23</c:f>
              <c:numCache>
                <c:formatCode>General</c:formatCode>
                <c:ptCount val="11"/>
                <c:pt idx="0">
                  <c:v>0</c:v>
                </c:pt>
                <c:pt idx="1">
                  <c:v>25</c:v>
                </c:pt>
                <c:pt idx="2">
                  <c:v>50</c:v>
                </c:pt>
                <c:pt idx="3">
                  <c:v>75</c:v>
                </c:pt>
                <c:pt idx="4">
                  <c:v>100</c:v>
                </c:pt>
                <c:pt idx="5">
                  <c:v>125</c:v>
                </c:pt>
                <c:pt idx="6">
                  <c:v>150</c:v>
                </c:pt>
                <c:pt idx="7">
                  <c:v>175</c:v>
                </c:pt>
                <c:pt idx="8">
                  <c:v>200</c:v>
                </c:pt>
                <c:pt idx="9">
                  <c:v>225</c:v>
                </c:pt>
                <c:pt idx="10">
                  <c:v>250</c:v>
                </c:pt>
              </c:numCache>
            </c:numRef>
          </c:xVal>
          <c:yVal>
            <c:numRef>
              <c:f>'Island Problem'!$M$13:$M$23</c:f>
              <c:numCache>
                <c:formatCode>0.000</c:formatCode>
                <c:ptCount val="11"/>
                <c:pt idx="0">
                  <c:v>2.3159794767993214</c:v>
                </c:pt>
                <c:pt idx="1">
                  <c:v>2.3259794767993212</c:v>
                </c:pt>
                <c:pt idx="2">
                  <c:v>2.3359794767993214</c:v>
                </c:pt>
                <c:pt idx="3">
                  <c:v>2.3459794767993212</c:v>
                </c:pt>
                <c:pt idx="4">
                  <c:v>2.3559794767993214</c:v>
                </c:pt>
                <c:pt idx="5">
                  <c:v>2.3659794767993212</c:v>
                </c:pt>
                <c:pt idx="6">
                  <c:v>2.3759794767993214</c:v>
                </c:pt>
                <c:pt idx="7">
                  <c:v>2.3859794767993212</c:v>
                </c:pt>
                <c:pt idx="8">
                  <c:v>2.3959794767993214</c:v>
                </c:pt>
                <c:pt idx="9">
                  <c:v>2.4059794767993212</c:v>
                </c:pt>
                <c:pt idx="10">
                  <c:v>2.4159794767993215</c:v>
                </c:pt>
              </c:numCache>
            </c:numRef>
          </c:yVal>
          <c:smooth val="1"/>
          <c:extLst>
            <c:ext xmlns:c16="http://schemas.microsoft.com/office/drawing/2014/chart" uri="{C3380CC4-5D6E-409C-BE32-E72D297353CC}">
              <c16:uniqueId val="{00000000-FEA8-4079-939B-118D7E510EE0}"/>
            </c:ext>
          </c:extLst>
        </c:ser>
        <c:ser>
          <c:idx val="1"/>
          <c:order val="1"/>
          <c:tx>
            <c:v>zn d/s</c:v>
          </c:tx>
          <c:spPr>
            <a:ln w="28575" cap="rnd">
              <a:solidFill>
                <a:schemeClr val="tx1">
                  <a:lumMod val="50000"/>
                  <a:lumOff val="50000"/>
                </a:schemeClr>
              </a:solidFill>
              <a:round/>
            </a:ln>
            <a:effectLst/>
          </c:spPr>
          <c:marker>
            <c:symbol val="none"/>
          </c:marker>
          <c:xVal>
            <c:numRef>
              <c:f>'Island Problem'!$A$13:$A$23</c:f>
              <c:numCache>
                <c:formatCode>General</c:formatCode>
                <c:ptCount val="11"/>
                <c:pt idx="0">
                  <c:v>0</c:v>
                </c:pt>
                <c:pt idx="1">
                  <c:v>25</c:v>
                </c:pt>
                <c:pt idx="2">
                  <c:v>50</c:v>
                </c:pt>
                <c:pt idx="3">
                  <c:v>75</c:v>
                </c:pt>
                <c:pt idx="4">
                  <c:v>100</c:v>
                </c:pt>
                <c:pt idx="5">
                  <c:v>125</c:v>
                </c:pt>
                <c:pt idx="6">
                  <c:v>150</c:v>
                </c:pt>
                <c:pt idx="7">
                  <c:v>175</c:v>
                </c:pt>
                <c:pt idx="8">
                  <c:v>200</c:v>
                </c:pt>
                <c:pt idx="9">
                  <c:v>225</c:v>
                </c:pt>
                <c:pt idx="10">
                  <c:v>250</c:v>
                </c:pt>
              </c:numCache>
            </c:numRef>
          </c:xVal>
          <c:yVal>
            <c:numRef>
              <c:f>'Island Problem'!$N$13:$N$23</c:f>
              <c:numCache>
                <c:formatCode>0.000</c:formatCode>
                <c:ptCount val="11"/>
                <c:pt idx="0">
                  <c:v>7.5911855862042437</c:v>
                </c:pt>
                <c:pt idx="1">
                  <c:v>7.6011855862042434</c:v>
                </c:pt>
                <c:pt idx="2">
                  <c:v>7.6111855862042432</c:v>
                </c:pt>
                <c:pt idx="3">
                  <c:v>7.6211855862042439</c:v>
                </c:pt>
                <c:pt idx="4">
                  <c:v>7.6311855862042437</c:v>
                </c:pt>
                <c:pt idx="5">
                  <c:v>7.6411855862042435</c:v>
                </c:pt>
                <c:pt idx="6">
                  <c:v>7.6511855862042433</c:v>
                </c:pt>
                <c:pt idx="7">
                  <c:v>7.6611855862042439</c:v>
                </c:pt>
                <c:pt idx="8">
                  <c:v>7.6711855862042437</c:v>
                </c:pt>
                <c:pt idx="9">
                  <c:v>7.6811855862042435</c:v>
                </c:pt>
                <c:pt idx="10">
                  <c:v>7.6911855862042433</c:v>
                </c:pt>
              </c:numCache>
            </c:numRef>
          </c:yVal>
          <c:smooth val="1"/>
          <c:extLst>
            <c:ext xmlns:c16="http://schemas.microsoft.com/office/drawing/2014/chart" uri="{C3380CC4-5D6E-409C-BE32-E72D297353CC}">
              <c16:uniqueId val="{00000001-FEA8-4079-939B-118D7E510EE0}"/>
            </c:ext>
          </c:extLst>
        </c:ser>
        <c:ser>
          <c:idx val="2"/>
          <c:order val="2"/>
          <c:tx>
            <c:v>zc branch-1</c:v>
          </c:tx>
          <c:spPr>
            <a:ln w="28575" cap="rnd">
              <a:solidFill>
                <a:srgbClr val="FF0000"/>
              </a:solidFill>
              <a:round/>
            </a:ln>
            <a:effectLst/>
          </c:spPr>
          <c:marker>
            <c:symbol val="none"/>
          </c:marker>
          <c:xVal>
            <c:numRef>
              <c:f>'Island Problem'!$O$44:$O$68</c:f>
              <c:numCache>
                <c:formatCode>General</c:formatCode>
                <c:ptCount val="25"/>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pt idx="17">
                  <c:v>675</c:v>
                </c:pt>
                <c:pt idx="18">
                  <c:v>700</c:v>
                </c:pt>
                <c:pt idx="19">
                  <c:v>725</c:v>
                </c:pt>
                <c:pt idx="20">
                  <c:v>750</c:v>
                </c:pt>
                <c:pt idx="21">
                  <c:v>775</c:v>
                </c:pt>
                <c:pt idx="22">
                  <c:v>800</c:v>
                </c:pt>
                <c:pt idx="23">
                  <c:v>825</c:v>
                </c:pt>
                <c:pt idx="24">
                  <c:v>850</c:v>
                </c:pt>
              </c:numCache>
            </c:numRef>
          </c:xVal>
          <c:yVal>
            <c:numRef>
              <c:f>'Island Problem'!$M$44:$M$68</c:f>
              <c:numCache>
                <c:formatCode>0.000</c:formatCode>
                <c:ptCount val="25"/>
                <c:pt idx="0">
                  <c:v>1.508635474150398</c:v>
                </c:pt>
                <c:pt idx="1">
                  <c:v>1.521135474150398</c:v>
                </c:pt>
                <c:pt idx="2">
                  <c:v>1.5336354741503979</c:v>
                </c:pt>
                <c:pt idx="3">
                  <c:v>1.5461354741503979</c:v>
                </c:pt>
                <c:pt idx="4">
                  <c:v>1.5586354741503978</c:v>
                </c:pt>
                <c:pt idx="5">
                  <c:v>1.571135474150398</c:v>
                </c:pt>
                <c:pt idx="6">
                  <c:v>1.583635474150398</c:v>
                </c:pt>
                <c:pt idx="7">
                  <c:v>1.5961354741503979</c:v>
                </c:pt>
                <c:pt idx="8">
                  <c:v>1.6086354741503981</c:v>
                </c:pt>
                <c:pt idx="9">
                  <c:v>1.621135474150398</c:v>
                </c:pt>
                <c:pt idx="10">
                  <c:v>1.633635474150398</c:v>
                </c:pt>
                <c:pt idx="11">
                  <c:v>1.646135474150398</c:v>
                </c:pt>
                <c:pt idx="12">
                  <c:v>1.6586354741503979</c:v>
                </c:pt>
                <c:pt idx="13">
                  <c:v>1.6711354741503981</c:v>
                </c:pt>
                <c:pt idx="14">
                  <c:v>1.683635474150398</c:v>
                </c:pt>
                <c:pt idx="15">
                  <c:v>1.696135474150398</c:v>
                </c:pt>
                <c:pt idx="16">
                  <c:v>1.7086354741503982</c:v>
                </c:pt>
                <c:pt idx="17">
                  <c:v>1.7211354741503981</c:v>
                </c:pt>
                <c:pt idx="18">
                  <c:v>1.7336354741503981</c:v>
                </c:pt>
                <c:pt idx="19">
                  <c:v>1.746135474150398</c:v>
                </c:pt>
                <c:pt idx="20">
                  <c:v>1.758635474150398</c:v>
                </c:pt>
                <c:pt idx="21">
                  <c:v>1.7711354741503982</c:v>
                </c:pt>
                <c:pt idx="22">
                  <c:v>1.7836354741503981</c:v>
                </c:pt>
                <c:pt idx="23">
                  <c:v>1.7961354741503981</c:v>
                </c:pt>
                <c:pt idx="24">
                  <c:v>1.8086354741503983</c:v>
                </c:pt>
              </c:numCache>
            </c:numRef>
          </c:yVal>
          <c:smooth val="1"/>
          <c:extLst>
            <c:ext xmlns:c16="http://schemas.microsoft.com/office/drawing/2014/chart" uri="{C3380CC4-5D6E-409C-BE32-E72D297353CC}">
              <c16:uniqueId val="{00000002-FEA8-4079-939B-118D7E510EE0}"/>
            </c:ext>
          </c:extLst>
        </c:ser>
        <c:ser>
          <c:idx val="3"/>
          <c:order val="3"/>
          <c:tx>
            <c:v>zn branch-1</c:v>
          </c:tx>
          <c:spPr>
            <a:ln w="28575" cap="rnd">
              <a:solidFill>
                <a:schemeClr val="tx1">
                  <a:lumMod val="50000"/>
                  <a:lumOff val="50000"/>
                </a:schemeClr>
              </a:solidFill>
              <a:round/>
            </a:ln>
            <a:effectLst/>
          </c:spPr>
          <c:marker>
            <c:symbol val="none"/>
          </c:marker>
          <c:xVal>
            <c:numRef>
              <c:f>'Island Problem'!$O$44:$O$68</c:f>
              <c:numCache>
                <c:formatCode>General</c:formatCode>
                <c:ptCount val="25"/>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pt idx="17">
                  <c:v>675</c:v>
                </c:pt>
                <c:pt idx="18">
                  <c:v>700</c:v>
                </c:pt>
                <c:pt idx="19">
                  <c:v>725</c:v>
                </c:pt>
                <c:pt idx="20">
                  <c:v>750</c:v>
                </c:pt>
                <c:pt idx="21">
                  <c:v>775</c:v>
                </c:pt>
                <c:pt idx="22">
                  <c:v>800</c:v>
                </c:pt>
                <c:pt idx="23">
                  <c:v>825</c:v>
                </c:pt>
                <c:pt idx="24">
                  <c:v>850</c:v>
                </c:pt>
              </c:numCache>
            </c:numRef>
          </c:xVal>
          <c:yVal>
            <c:numRef>
              <c:f>'Island Problem'!$N$44:$N$68</c:f>
              <c:numCache>
                <c:formatCode>0.000</c:formatCode>
                <c:ptCount val="25"/>
                <c:pt idx="0">
                  <c:v>4.9069749841041643</c:v>
                </c:pt>
                <c:pt idx="1">
                  <c:v>4.9194749841041645</c:v>
                </c:pt>
                <c:pt idx="2">
                  <c:v>4.9319749841041647</c:v>
                </c:pt>
                <c:pt idx="3">
                  <c:v>4.9444749841041649</c:v>
                </c:pt>
                <c:pt idx="4">
                  <c:v>4.956974984104165</c:v>
                </c:pt>
                <c:pt idx="5">
                  <c:v>4.9694749841041643</c:v>
                </c:pt>
                <c:pt idx="6">
                  <c:v>4.9819749841041645</c:v>
                </c:pt>
                <c:pt idx="7">
                  <c:v>4.9944749841041647</c:v>
                </c:pt>
                <c:pt idx="8">
                  <c:v>5.0069749841041649</c:v>
                </c:pt>
                <c:pt idx="9">
                  <c:v>5.019474984104165</c:v>
                </c:pt>
                <c:pt idx="10">
                  <c:v>5.0319749841041652</c:v>
                </c:pt>
                <c:pt idx="11">
                  <c:v>5.0444749841041645</c:v>
                </c:pt>
                <c:pt idx="12">
                  <c:v>5.0569749841041647</c:v>
                </c:pt>
                <c:pt idx="13">
                  <c:v>5.0694749841041649</c:v>
                </c:pt>
                <c:pt idx="14">
                  <c:v>5.081974984104165</c:v>
                </c:pt>
                <c:pt idx="15">
                  <c:v>5.0944749841041652</c:v>
                </c:pt>
                <c:pt idx="16">
                  <c:v>5.1069749841041645</c:v>
                </c:pt>
                <c:pt idx="17">
                  <c:v>5.1194749841041647</c:v>
                </c:pt>
                <c:pt idx="18">
                  <c:v>5.1319749841041649</c:v>
                </c:pt>
                <c:pt idx="19">
                  <c:v>5.144474984104165</c:v>
                </c:pt>
                <c:pt idx="20">
                  <c:v>5.1569749841041652</c:v>
                </c:pt>
                <c:pt idx="21">
                  <c:v>5.1694749841041645</c:v>
                </c:pt>
                <c:pt idx="22">
                  <c:v>5.1819749841041647</c:v>
                </c:pt>
                <c:pt idx="23">
                  <c:v>5.1944749841041649</c:v>
                </c:pt>
                <c:pt idx="24">
                  <c:v>5.206974984104165</c:v>
                </c:pt>
              </c:numCache>
            </c:numRef>
          </c:yVal>
          <c:smooth val="1"/>
          <c:extLst>
            <c:ext xmlns:c16="http://schemas.microsoft.com/office/drawing/2014/chart" uri="{C3380CC4-5D6E-409C-BE32-E72D297353CC}">
              <c16:uniqueId val="{00000003-FEA8-4079-939B-118D7E510EE0}"/>
            </c:ext>
          </c:extLst>
        </c:ser>
        <c:ser>
          <c:idx val="4"/>
          <c:order val="4"/>
          <c:tx>
            <c:v>zc branch-2</c:v>
          </c:tx>
          <c:spPr>
            <a:ln w="28575" cap="rnd">
              <a:solidFill>
                <a:srgbClr val="FF0000"/>
              </a:solidFill>
              <a:round/>
            </a:ln>
            <a:effectLst/>
          </c:spPr>
          <c:marker>
            <c:symbol val="none"/>
          </c:marker>
          <c:xVal>
            <c:numRef>
              <c:f>'Island Problem'!$O$73:$O$89</c:f>
              <c:numCache>
                <c:formatCode>General</c:formatCode>
                <c:ptCount val="17"/>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numCache>
            </c:numRef>
          </c:xVal>
          <c:yVal>
            <c:numRef>
              <c:f>'Island Problem'!$M$73:$M$89</c:f>
              <c:numCache>
                <c:formatCode>0.000</c:formatCode>
                <c:ptCount val="17"/>
                <c:pt idx="0">
                  <c:v>2.6871484511221424</c:v>
                </c:pt>
                <c:pt idx="1">
                  <c:v>2.7058984511221422</c:v>
                </c:pt>
                <c:pt idx="2">
                  <c:v>2.7246484511221425</c:v>
                </c:pt>
                <c:pt idx="3">
                  <c:v>2.7433984511221423</c:v>
                </c:pt>
                <c:pt idx="4">
                  <c:v>2.7621484511221421</c:v>
                </c:pt>
                <c:pt idx="5">
                  <c:v>2.7808984511221424</c:v>
                </c:pt>
                <c:pt idx="6">
                  <c:v>2.7996484511221422</c:v>
                </c:pt>
                <c:pt idx="7">
                  <c:v>2.8183984511221425</c:v>
                </c:pt>
                <c:pt idx="8">
                  <c:v>2.8371484511221423</c:v>
                </c:pt>
                <c:pt idx="9">
                  <c:v>2.8558984511221421</c:v>
                </c:pt>
                <c:pt idx="10">
                  <c:v>2.8746484511221424</c:v>
                </c:pt>
                <c:pt idx="11">
                  <c:v>2.8933984511221422</c:v>
                </c:pt>
                <c:pt idx="12">
                  <c:v>2.912148451122142</c:v>
                </c:pt>
                <c:pt idx="13">
                  <c:v>2.9308984511221423</c:v>
                </c:pt>
                <c:pt idx="14">
                  <c:v>2.9496484511221421</c:v>
                </c:pt>
                <c:pt idx="15">
                  <c:v>2.968398451122142</c:v>
                </c:pt>
                <c:pt idx="16">
                  <c:v>2.9871484511221422</c:v>
                </c:pt>
              </c:numCache>
            </c:numRef>
          </c:yVal>
          <c:smooth val="1"/>
          <c:extLst>
            <c:ext xmlns:c16="http://schemas.microsoft.com/office/drawing/2014/chart" uri="{C3380CC4-5D6E-409C-BE32-E72D297353CC}">
              <c16:uniqueId val="{00000004-FEA8-4079-939B-118D7E510EE0}"/>
            </c:ext>
          </c:extLst>
        </c:ser>
        <c:ser>
          <c:idx val="5"/>
          <c:order val="5"/>
          <c:tx>
            <c:v>zn branch-2</c:v>
          </c:tx>
          <c:spPr>
            <a:ln w="28575" cap="rnd">
              <a:solidFill>
                <a:schemeClr val="tx1">
                  <a:lumMod val="50000"/>
                  <a:lumOff val="50000"/>
                </a:schemeClr>
              </a:solidFill>
              <a:round/>
            </a:ln>
            <a:effectLst/>
          </c:spPr>
          <c:marker>
            <c:symbol val="none"/>
          </c:marker>
          <c:xVal>
            <c:numRef>
              <c:f>'Island Problem'!$O$73:$O$89</c:f>
              <c:numCache>
                <c:formatCode>General</c:formatCode>
                <c:ptCount val="17"/>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numCache>
            </c:numRef>
          </c:xVal>
          <c:yVal>
            <c:numRef>
              <c:f>'Island Problem'!$N$73:$N$89</c:f>
              <c:numCache>
                <c:formatCode>0.000</c:formatCode>
                <c:ptCount val="17"/>
                <c:pt idx="0">
                  <c:v>4.7306717012718504</c:v>
                </c:pt>
                <c:pt idx="1">
                  <c:v>4.7494217012718511</c:v>
                </c:pt>
                <c:pt idx="2">
                  <c:v>4.768171701271851</c:v>
                </c:pt>
                <c:pt idx="3">
                  <c:v>4.7869217012718508</c:v>
                </c:pt>
                <c:pt idx="4">
                  <c:v>4.8056717012718506</c:v>
                </c:pt>
                <c:pt idx="5">
                  <c:v>4.8244217012718504</c:v>
                </c:pt>
                <c:pt idx="6">
                  <c:v>4.8431717012718511</c:v>
                </c:pt>
                <c:pt idx="7">
                  <c:v>4.861921701271851</c:v>
                </c:pt>
                <c:pt idx="8">
                  <c:v>4.8806717012718508</c:v>
                </c:pt>
                <c:pt idx="9">
                  <c:v>4.8994217012718506</c:v>
                </c:pt>
                <c:pt idx="10">
                  <c:v>4.9181717012718504</c:v>
                </c:pt>
                <c:pt idx="11">
                  <c:v>4.9369217012718511</c:v>
                </c:pt>
                <c:pt idx="12">
                  <c:v>4.955671701271851</c:v>
                </c:pt>
                <c:pt idx="13">
                  <c:v>4.9744217012718508</c:v>
                </c:pt>
                <c:pt idx="14">
                  <c:v>4.9931717012718506</c:v>
                </c:pt>
                <c:pt idx="15">
                  <c:v>5.0119217012718504</c:v>
                </c:pt>
                <c:pt idx="16">
                  <c:v>5.0306717012718503</c:v>
                </c:pt>
              </c:numCache>
            </c:numRef>
          </c:yVal>
          <c:smooth val="1"/>
          <c:extLst>
            <c:ext xmlns:c16="http://schemas.microsoft.com/office/drawing/2014/chart" uri="{C3380CC4-5D6E-409C-BE32-E72D297353CC}">
              <c16:uniqueId val="{00000005-FEA8-4079-939B-118D7E510EE0}"/>
            </c:ext>
          </c:extLst>
        </c:ser>
        <c:ser>
          <c:idx val="6"/>
          <c:order val="6"/>
          <c:tx>
            <c:v>zc u/s</c:v>
          </c:tx>
          <c:spPr>
            <a:ln w="28575" cap="rnd">
              <a:solidFill>
                <a:srgbClr val="FF0000"/>
              </a:solidFill>
              <a:round/>
            </a:ln>
            <a:effectLst/>
          </c:spPr>
          <c:marker>
            <c:symbol val="none"/>
          </c:marker>
          <c:xVal>
            <c:numRef>
              <c:f>'Island Problem'!$O$94:$O$106</c:f>
              <c:numCache>
                <c:formatCode>General</c:formatCode>
                <c:ptCount val="13"/>
                <c:pt idx="0">
                  <c:v>850</c:v>
                </c:pt>
                <c:pt idx="1">
                  <c:v>875</c:v>
                </c:pt>
                <c:pt idx="2">
                  <c:v>900</c:v>
                </c:pt>
                <c:pt idx="3">
                  <c:v>925</c:v>
                </c:pt>
                <c:pt idx="4">
                  <c:v>950</c:v>
                </c:pt>
                <c:pt idx="5">
                  <c:v>975</c:v>
                </c:pt>
                <c:pt idx="6">
                  <c:v>1000</c:v>
                </c:pt>
                <c:pt idx="7">
                  <c:v>1025</c:v>
                </c:pt>
                <c:pt idx="8">
                  <c:v>1050</c:v>
                </c:pt>
                <c:pt idx="9">
                  <c:v>1075</c:v>
                </c:pt>
                <c:pt idx="10">
                  <c:v>1100</c:v>
                </c:pt>
                <c:pt idx="11">
                  <c:v>1125</c:v>
                </c:pt>
                <c:pt idx="12">
                  <c:v>1150</c:v>
                </c:pt>
              </c:numCache>
            </c:numRef>
          </c:xVal>
          <c:yVal>
            <c:numRef>
              <c:f>'Island Problem'!$M$94:$M$106</c:f>
              <c:numCache>
                <c:formatCode>0.000</c:formatCode>
                <c:ptCount val="13"/>
                <c:pt idx="0">
                  <c:v>2.7159794767993213</c:v>
                </c:pt>
                <c:pt idx="1">
                  <c:v>2.7259794767993215</c:v>
                </c:pt>
                <c:pt idx="2">
                  <c:v>2.7359794767993213</c:v>
                </c:pt>
                <c:pt idx="3">
                  <c:v>2.7459794767993215</c:v>
                </c:pt>
                <c:pt idx="4">
                  <c:v>2.7559794767993213</c:v>
                </c:pt>
                <c:pt idx="5">
                  <c:v>2.7659794767993215</c:v>
                </c:pt>
                <c:pt idx="6">
                  <c:v>2.7759794767993213</c:v>
                </c:pt>
                <c:pt idx="7">
                  <c:v>2.7859794767993216</c:v>
                </c:pt>
                <c:pt idx="8">
                  <c:v>2.7959794767993214</c:v>
                </c:pt>
                <c:pt idx="9">
                  <c:v>2.8059794767993216</c:v>
                </c:pt>
                <c:pt idx="10">
                  <c:v>2.8159794767993214</c:v>
                </c:pt>
                <c:pt idx="11">
                  <c:v>2.8259794767993216</c:v>
                </c:pt>
                <c:pt idx="12">
                  <c:v>2.8359794767993214</c:v>
                </c:pt>
              </c:numCache>
            </c:numRef>
          </c:yVal>
          <c:smooth val="1"/>
          <c:extLst>
            <c:ext xmlns:c16="http://schemas.microsoft.com/office/drawing/2014/chart" uri="{C3380CC4-5D6E-409C-BE32-E72D297353CC}">
              <c16:uniqueId val="{00000006-FEA8-4079-939B-118D7E510EE0}"/>
            </c:ext>
          </c:extLst>
        </c:ser>
        <c:ser>
          <c:idx val="7"/>
          <c:order val="7"/>
          <c:tx>
            <c:v>zn u/s</c:v>
          </c:tx>
          <c:spPr>
            <a:ln w="28575" cap="rnd">
              <a:solidFill>
                <a:schemeClr val="tx1">
                  <a:lumMod val="50000"/>
                  <a:lumOff val="50000"/>
                </a:schemeClr>
              </a:solidFill>
              <a:round/>
            </a:ln>
            <a:effectLst/>
          </c:spPr>
          <c:marker>
            <c:symbol val="none"/>
          </c:marker>
          <c:xVal>
            <c:numRef>
              <c:f>'Island Problem'!$O$94:$O$106</c:f>
              <c:numCache>
                <c:formatCode>General</c:formatCode>
                <c:ptCount val="13"/>
                <c:pt idx="0">
                  <c:v>850</c:v>
                </c:pt>
                <c:pt idx="1">
                  <c:v>875</c:v>
                </c:pt>
                <c:pt idx="2">
                  <c:v>900</c:v>
                </c:pt>
                <c:pt idx="3">
                  <c:v>925</c:v>
                </c:pt>
                <c:pt idx="4">
                  <c:v>950</c:v>
                </c:pt>
                <c:pt idx="5">
                  <c:v>975</c:v>
                </c:pt>
                <c:pt idx="6">
                  <c:v>1000</c:v>
                </c:pt>
                <c:pt idx="7">
                  <c:v>1025</c:v>
                </c:pt>
                <c:pt idx="8">
                  <c:v>1050</c:v>
                </c:pt>
                <c:pt idx="9">
                  <c:v>1075</c:v>
                </c:pt>
                <c:pt idx="10">
                  <c:v>1100</c:v>
                </c:pt>
                <c:pt idx="11">
                  <c:v>1125</c:v>
                </c:pt>
                <c:pt idx="12">
                  <c:v>1150</c:v>
                </c:pt>
              </c:numCache>
            </c:numRef>
          </c:xVal>
          <c:yVal>
            <c:numRef>
              <c:f>'Island Problem'!$N$94:$N$106</c:f>
              <c:numCache>
                <c:formatCode>0.000</c:formatCode>
                <c:ptCount val="13"/>
                <c:pt idx="0">
                  <c:v>7.991185586204244</c:v>
                </c:pt>
                <c:pt idx="1">
                  <c:v>8.0011855862042438</c:v>
                </c:pt>
                <c:pt idx="2">
                  <c:v>8.0111855862042436</c:v>
                </c:pt>
                <c:pt idx="3">
                  <c:v>8.0211855862042434</c:v>
                </c:pt>
                <c:pt idx="4">
                  <c:v>8.0311855862042432</c:v>
                </c:pt>
                <c:pt idx="5">
                  <c:v>8.041185586204243</c:v>
                </c:pt>
                <c:pt idx="6">
                  <c:v>8.0511855862042445</c:v>
                </c:pt>
                <c:pt idx="7">
                  <c:v>8.0611855862042443</c:v>
                </c:pt>
                <c:pt idx="8">
                  <c:v>8.0711855862042441</c:v>
                </c:pt>
                <c:pt idx="9">
                  <c:v>8.0811855862042439</c:v>
                </c:pt>
                <c:pt idx="10">
                  <c:v>8.0911855862042437</c:v>
                </c:pt>
                <c:pt idx="11">
                  <c:v>8.1011855862042434</c:v>
                </c:pt>
                <c:pt idx="12">
                  <c:v>8.1111855862042432</c:v>
                </c:pt>
              </c:numCache>
            </c:numRef>
          </c:yVal>
          <c:smooth val="1"/>
          <c:extLst>
            <c:ext xmlns:c16="http://schemas.microsoft.com/office/drawing/2014/chart" uri="{C3380CC4-5D6E-409C-BE32-E72D297353CC}">
              <c16:uniqueId val="{00000007-FEA8-4079-939B-118D7E510EE0}"/>
            </c:ext>
          </c:extLst>
        </c:ser>
        <c:ser>
          <c:idx val="8"/>
          <c:order val="8"/>
          <c:tx>
            <c:v>z</c:v>
          </c:tx>
          <c:spPr>
            <a:ln w="28575" cap="rnd">
              <a:solidFill>
                <a:schemeClr val="tx1"/>
              </a:solidFill>
              <a:round/>
            </a:ln>
            <a:effectLst/>
          </c:spPr>
          <c:marker>
            <c:symbol val="none"/>
          </c:marker>
          <c:xVal>
            <c:numRef>
              <c:f>'Island Problem'!$T$12:$T$60</c:f>
              <c:numCache>
                <c:formatCode>General</c:formatCode>
                <c:ptCount val="49"/>
                <c:pt idx="0">
                  <c:v>0</c:v>
                </c:pt>
                <c:pt idx="1">
                  <c:v>25</c:v>
                </c:pt>
                <c:pt idx="2">
                  <c:v>50</c:v>
                </c:pt>
                <c:pt idx="3">
                  <c:v>75</c:v>
                </c:pt>
                <c:pt idx="4">
                  <c:v>100</c:v>
                </c:pt>
                <c:pt idx="5">
                  <c:v>125</c:v>
                </c:pt>
                <c:pt idx="6">
                  <c:v>150</c:v>
                </c:pt>
                <c:pt idx="7">
                  <c:v>175</c:v>
                </c:pt>
                <c:pt idx="8">
                  <c:v>200</c:v>
                </c:pt>
                <c:pt idx="9">
                  <c:v>225</c:v>
                </c:pt>
                <c:pt idx="10">
                  <c:v>250</c:v>
                </c:pt>
                <c:pt idx="11">
                  <c:v>250</c:v>
                </c:pt>
                <c:pt idx="12">
                  <c:v>275</c:v>
                </c:pt>
                <c:pt idx="13">
                  <c:v>300</c:v>
                </c:pt>
                <c:pt idx="14">
                  <c:v>325</c:v>
                </c:pt>
                <c:pt idx="15">
                  <c:v>350</c:v>
                </c:pt>
                <c:pt idx="16">
                  <c:v>375</c:v>
                </c:pt>
                <c:pt idx="17">
                  <c:v>400</c:v>
                </c:pt>
                <c:pt idx="18">
                  <c:v>425</c:v>
                </c:pt>
                <c:pt idx="19">
                  <c:v>450</c:v>
                </c:pt>
                <c:pt idx="20">
                  <c:v>475</c:v>
                </c:pt>
                <c:pt idx="21">
                  <c:v>500</c:v>
                </c:pt>
                <c:pt idx="22">
                  <c:v>525</c:v>
                </c:pt>
                <c:pt idx="23">
                  <c:v>550</c:v>
                </c:pt>
                <c:pt idx="24">
                  <c:v>575</c:v>
                </c:pt>
                <c:pt idx="25">
                  <c:v>600</c:v>
                </c:pt>
                <c:pt idx="26">
                  <c:v>625</c:v>
                </c:pt>
                <c:pt idx="27">
                  <c:v>650</c:v>
                </c:pt>
                <c:pt idx="28">
                  <c:v>675</c:v>
                </c:pt>
                <c:pt idx="29">
                  <c:v>700</c:v>
                </c:pt>
                <c:pt idx="30">
                  <c:v>725</c:v>
                </c:pt>
                <c:pt idx="31">
                  <c:v>750</c:v>
                </c:pt>
                <c:pt idx="32">
                  <c:v>775</c:v>
                </c:pt>
                <c:pt idx="33">
                  <c:v>800</c:v>
                </c:pt>
                <c:pt idx="34">
                  <c:v>825</c:v>
                </c:pt>
                <c:pt idx="35">
                  <c:v>850</c:v>
                </c:pt>
                <c:pt idx="36">
                  <c:v>850</c:v>
                </c:pt>
                <c:pt idx="37">
                  <c:v>875</c:v>
                </c:pt>
                <c:pt idx="38">
                  <c:v>900</c:v>
                </c:pt>
                <c:pt idx="39">
                  <c:v>925</c:v>
                </c:pt>
                <c:pt idx="40">
                  <c:v>950</c:v>
                </c:pt>
                <c:pt idx="41">
                  <c:v>975</c:v>
                </c:pt>
                <c:pt idx="42">
                  <c:v>1000</c:v>
                </c:pt>
                <c:pt idx="43">
                  <c:v>1025</c:v>
                </c:pt>
                <c:pt idx="44">
                  <c:v>1050</c:v>
                </c:pt>
                <c:pt idx="45">
                  <c:v>1075</c:v>
                </c:pt>
                <c:pt idx="46">
                  <c:v>1100</c:v>
                </c:pt>
                <c:pt idx="47">
                  <c:v>1125</c:v>
                </c:pt>
                <c:pt idx="48">
                  <c:v>1150</c:v>
                </c:pt>
              </c:numCache>
            </c:numRef>
          </c:xVal>
          <c:yVal>
            <c:numRef>
              <c:f>'Island Problem'!$U$12:$U$60</c:f>
              <c:numCache>
                <c:formatCode>General</c:formatCode>
                <c:ptCount val="49"/>
                <c:pt idx="0">
                  <c:v>0</c:v>
                </c:pt>
                <c:pt idx="1">
                  <c:v>0.01</c:v>
                </c:pt>
                <c:pt idx="2">
                  <c:v>0.02</c:v>
                </c:pt>
                <c:pt idx="3">
                  <c:v>3.0000000000000002E-2</c:v>
                </c:pt>
                <c:pt idx="4">
                  <c:v>0.04</c:v>
                </c:pt>
                <c:pt idx="5">
                  <c:v>0.05</c:v>
                </c:pt>
                <c:pt idx="6">
                  <c:v>6.0000000000000005E-2</c:v>
                </c:pt>
                <c:pt idx="7">
                  <c:v>7.0000000000000007E-2</c:v>
                </c:pt>
                <c:pt idx="8">
                  <c:v>0.08</c:v>
                </c:pt>
                <c:pt idx="9">
                  <c:v>9.0000000000000011E-2</c:v>
                </c:pt>
                <c:pt idx="10">
                  <c:v>0.1</c:v>
                </c:pt>
                <c:pt idx="11">
                  <c:v>0.1</c:v>
                </c:pt>
                <c:pt idx="12">
                  <c:v>0.1125</c:v>
                </c:pt>
                <c:pt idx="13">
                  <c:v>0.125</c:v>
                </c:pt>
                <c:pt idx="14">
                  <c:v>0.13750000000000001</c:v>
                </c:pt>
                <c:pt idx="15">
                  <c:v>0.15000000000000002</c:v>
                </c:pt>
                <c:pt idx="16">
                  <c:v>0.16250000000000003</c:v>
                </c:pt>
                <c:pt idx="17">
                  <c:v>0.17500000000000004</c:v>
                </c:pt>
                <c:pt idx="18">
                  <c:v>0.18750000000000006</c:v>
                </c:pt>
                <c:pt idx="19">
                  <c:v>0.20000000000000007</c:v>
                </c:pt>
                <c:pt idx="20">
                  <c:v>0.21250000000000008</c:v>
                </c:pt>
                <c:pt idx="21">
                  <c:v>0.22500000000000009</c:v>
                </c:pt>
                <c:pt idx="22">
                  <c:v>0.2375000000000001</c:v>
                </c:pt>
                <c:pt idx="23">
                  <c:v>0.25000000000000011</c:v>
                </c:pt>
                <c:pt idx="24">
                  <c:v>0.26250000000000012</c:v>
                </c:pt>
                <c:pt idx="25">
                  <c:v>0.27500000000000013</c:v>
                </c:pt>
                <c:pt idx="26">
                  <c:v>0.28750000000000014</c:v>
                </c:pt>
                <c:pt idx="27">
                  <c:v>0.30000000000000016</c:v>
                </c:pt>
                <c:pt idx="28">
                  <c:v>0.31250000000000017</c:v>
                </c:pt>
                <c:pt idx="29">
                  <c:v>0.32500000000000018</c:v>
                </c:pt>
                <c:pt idx="30">
                  <c:v>0.33750000000000019</c:v>
                </c:pt>
                <c:pt idx="31">
                  <c:v>0.3500000000000002</c:v>
                </c:pt>
                <c:pt idx="32">
                  <c:v>0.36250000000000021</c:v>
                </c:pt>
                <c:pt idx="33">
                  <c:v>0.37500000000000022</c:v>
                </c:pt>
                <c:pt idx="34">
                  <c:v>0.38750000000000023</c:v>
                </c:pt>
                <c:pt idx="35">
                  <c:v>0.40000000000000024</c:v>
                </c:pt>
                <c:pt idx="36">
                  <c:v>0.4</c:v>
                </c:pt>
                <c:pt idx="37">
                  <c:v>0.41000000000000003</c:v>
                </c:pt>
                <c:pt idx="38">
                  <c:v>0.42000000000000004</c:v>
                </c:pt>
                <c:pt idx="39">
                  <c:v>0.43000000000000005</c:v>
                </c:pt>
                <c:pt idx="40">
                  <c:v>0.44000000000000006</c:v>
                </c:pt>
                <c:pt idx="41">
                  <c:v>0.45000000000000007</c:v>
                </c:pt>
                <c:pt idx="42">
                  <c:v>0.46000000000000008</c:v>
                </c:pt>
                <c:pt idx="43">
                  <c:v>0.47000000000000008</c:v>
                </c:pt>
                <c:pt idx="44">
                  <c:v>0.48000000000000009</c:v>
                </c:pt>
                <c:pt idx="45">
                  <c:v>0.4900000000000001</c:v>
                </c:pt>
                <c:pt idx="46">
                  <c:v>0.50000000000000011</c:v>
                </c:pt>
                <c:pt idx="47">
                  <c:v>0.51000000000000012</c:v>
                </c:pt>
                <c:pt idx="48">
                  <c:v>0.52000000000000013</c:v>
                </c:pt>
              </c:numCache>
            </c:numRef>
          </c:yVal>
          <c:smooth val="1"/>
          <c:extLst>
            <c:ext xmlns:c16="http://schemas.microsoft.com/office/drawing/2014/chart" uri="{C3380CC4-5D6E-409C-BE32-E72D297353CC}">
              <c16:uniqueId val="{00000008-FEA8-4079-939B-118D7E510EE0}"/>
            </c:ext>
          </c:extLst>
        </c:ser>
        <c:ser>
          <c:idx val="9"/>
          <c:order val="9"/>
          <c:tx>
            <c:v>z-branch-2</c:v>
          </c:tx>
          <c:spPr>
            <a:ln w="28575" cap="rnd">
              <a:solidFill>
                <a:schemeClr val="tx1"/>
              </a:solidFill>
              <a:round/>
            </a:ln>
            <a:effectLst/>
          </c:spPr>
          <c:marker>
            <c:symbol val="none"/>
          </c:marker>
          <c:xVal>
            <c:numRef>
              <c:f>'Island Problem'!$T$23:$T$39</c:f>
              <c:numCache>
                <c:formatCode>General</c:formatCode>
                <c:ptCount val="17"/>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numCache>
            </c:numRef>
          </c:xVal>
          <c:yVal>
            <c:numRef>
              <c:f>'Island Problem'!$W$23:$W$39</c:f>
              <c:numCache>
                <c:formatCode>General</c:formatCode>
                <c:ptCount val="17"/>
                <c:pt idx="0">
                  <c:v>0.1</c:v>
                </c:pt>
                <c:pt idx="1">
                  <c:v>0.11875000000000001</c:v>
                </c:pt>
                <c:pt idx="2">
                  <c:v>0.13750000000000001</c:v>
                </c:pt>
                <c:pt idx="3">
                  <c:v>0.15625</c:v>
                </c:pt>
                <c:pt idx="4">
                  <c:v>0.17499999999999999</c:v>
                </c:pt>
                <c:pt idx="5">
                  <c:v>0.19374999999999998</c:v>
                </c:pt>
                <c:pt idx="6">
                  <c:v>0.21249999999999997</c:v>
                </c:pt>
                <c:pt idx="7">
                  <c:v>0.23124999999999996</c:v>
                </c:pt>
                <c:pt idx="8">
                  <c:v>0.24999999999999994</c:v>
                </c:pt>
                <c:pt idx="9">
                  <c:v>0.26874999999999993</c:v>
                </c:pt>
                <c:pt idx="10">
                  <c:v>0.28749999999999992</c:v>
                </c:pt>
                <c:pt idx="11">
                  <c:v>0.30624999999999991</c:v>
                </c:pt>
                <c:pt idx="12">
                  <c:v>0.3249999999999999</c:v>
                </c:pt>
                <c:pt idx="13">
                  <c:v>0.34374999999999989</c:v>
                </c:pt>
                <c:pt idx="14">
                  <c:v>0.36249999999999988</c:v>
                </c:pt>
                <c:pt idx="15">
                  <c:v>0.38124999999999987</c:v>
                </c:pt>
                <c:pt idx="16">
                  <c:v>0.39999999999999986</c:v>
                </c:pt>
              </c:numCache>
            </c:numRef>
          </c:yVal>
          <c:smooth val="1"/>
          <c:extLst>
            <c:ext xmlns:c16="http://schemas.microsoft.com/office/drawing/2014/chart" uri="{C3380CC4-5D6E-409C-BE32-E72D297353CC}">
              <c16:uniqueId val="{00000009-FEA8-4079-939B-118D7E510EE0}"/>
            </c:ext>
          </c:extLst>
        </c:ser>
        <c:ser>
          <c:idx val="10"/>
          <c:order val="10"/>
          <c:tx>
            <c:v>Z</c:v>
          </c:tx>
          <c:spPr>
            <a:ln w="28575" cap="rnd">
              <a:solidFill>
                <a:srgbClr val="0070C0"/>
              </a:solidFill>
              <a:prstDash val="dash"/>
              <a:round/>
            </a:ln>
            <a:effectLst/>
          </c:spPr>
          <c:marker>
            <c:symbol val="none"/>
          </c:marker>
          <c:xVal>
            <c:numRef>
              <c:f>'Island Problem'!$T$12:$T$60</c:f>
              <c:numCache>
                <c:formatCode>General</c:formatCode>
                <c:ptCount val="49"/>
                <c:pt idx="0">
                  <c:v>0</c:v>
                </c:pt>
                <c:pt idx="1">
                  <c:v>25</c:v>
                </c:pt>
                <c:pt idx="2">
                  <c:v>50</c:v>
                </c:pt>
                <c:pt idx="3">
                  <c:v>75</c:v>
                </c:pt>
                <c:pt idx="4">
                  <c:v>100</c:v>
                </c:pt>
                <c:pt idx="5">
                  <c:v>125</c:v>
                </c:pt>
                <c:pt idx="6">
                  <c:v>150</c:v>
                </c:pt>
                <c:pt idx="7">
                  <c:v>175</c:v>
                </c:pt>
                <c:pt idx="8">
                  <c:v>200</c:v>
                </c:pt>
                <c:pt idx="9">
                  <c:v>225</c:v>
                </c:pt>
                <c:pt idx="10">
                  <c:v>250</c:v>
                </c:pt>
                <c:pt idx="11">
                  <c:v>250</c:v>
                </c:pt>
                <c:pt idx="12">
                  <c:v>275</c:v>
                </c:pt>
                <c:pt idx="13">
                  <c:v>300</c:v>
                </c:pt>
                <c:pt idx="14">
                  <c:v>325</c:v>
                </c:pt>
                <c:pt idx="15">
                  <c:v>350</c:v>
                </c:pt>
                <c:pt idx="16">
                  <c:v>375</c:v>
                </c:pt>
                <c:pt idx="17">
                  <c:v>400</c:v>
                </c:pt>
                <c:pt idx="18">
                  <c:v>425</c:v>
                </c:pt>
                <c:pt idx="19">
                  <c:v>450</c:v>
                </c:pt>
                <c:pt idx="20">
                  <c:v>475</c:v>
                </c:pt>
                <c:pt idx="21">
                  <c:v>500</c:v>
                </c:pt>
                <c:pt idx="22">
                  <c:v>525</c:v>
                </c:pt>
                <c:pt idx="23">
                  <c:v>550</c:v>
                </c:pt>
                <c:pt idx="24">
                  <c:v>575</c:v>
                </c:pt>
                <c:pt idx="25">
                  <c:v>600</c:v>
                </c:pt>
                <c:pt idx="26">
                  <c:v>625</c:v>
                </c:pt>
                <c:pt idx="27">
                  <c:v>650</c:v>
                </c:pt>
                <c:pt idx="28">
                  <c:v>675</c:v>
                </c:pt>
                <c:pt idx="29">
                  <c:v>700</c:v>
                </c:pt>
                <c:pt idx="30">
                  <c:v>725</c:v>
                </c:pt>
                <c:pt idx="31">
                  <c:v>750</c:v>
                </c:pt>
                <c:pt idx="32">
                  <c:v>775</c:v>
                </c:pt>
                <c:pt idx="33">
                  <c:v>800</c:v>
                </c:pt>
                <c:pt idx="34">
                  <c:v>825</c:v>
                </c:pt>
                <c:pt idx="35">
                  <c:v>850</c:v>
                </c:pt>
                <c:pt idx="36">
                  <c:v>850</c:v>
                </c:pt>
                <c:pt idx="37">
                  <c:v>875</c:v>
                </c:pt>
                <c:pt idx="38">
                  <c:v>900</c:v>
                </c:pt>
                <c:pt idx="39">
                  <c:v>925</c:v>
                </c:pt>
                <c:pt idx="40">
                  <c:v>950</c:v>
                </c:pt>
                <c:pt idx="41">
                  <c:v>975</c:v>
                </c:pt>
                <c:pt idx="42">
                  <c:v>1000</c:v>
                </c:pt>
                <c:pt idx="43">
                  <c:v>1025</c:v>
                </c:pt>
                <c:pt idx="44">
                  <c:v>1050</c:v>
                </c:pt>
                <c:pt idx="45">
                  <c:v>1075</c:v>
                </c:pt>
                <c:pt idx="46">
                  <c:v>1100</c:v>
                </c:pt>
                <c:pt idx="47">
                  <c:v>1125</c:v>
                </c:pt>
                <c:pt idx="48">
                  <c:v>1150</c:v>
                </c:pt>
              </c:numCache>
            </c:numRef>
          </c:xVal>
          <c:yVal>
            <c:numRef>
              <c:f>'Island Problem'!$Z$12:$Z$60</c:f>
              <c:numCache>
                <c:formatCode>General</c:formatCode>
                <c:ptCount val="49"/>
                <c:pt idx="0">
                  <c:v>6.3</c:v>
                </c:pt>
                <c:pt idx="1">
                  <c:v>6.3184662305971111</c:v>
                </c:pt>
                <c:pt idx="2">
                  <c:v>6.3368498217122742</c:v>
                </c:pt>
                <c:pt idx="3">
                  <c:v>6.3551520697523438</c:v>
                </c:pt>
                <c:pt idx="4">
                  <c:v>6.3733742406415184</c:v>
                </c:pt>
                <c:pt idx="5">
                  <c:v>6.3915175707896772</c:v>
                </c:pt>
                <c:pt idx="6">
                  <c:v>6.4095832680220477</c:v>
                </c:pt>
                <c:pt idx="7">
                  <c:v>6.4275725124720449</c:v>
                </c:pt>
                <c:pt idx="8">
                  <c:v>6.4454864574390438</c:v>
                </c:pt>
                <c:pt idx="9">
                  <c:v>6.4633262302127417</c:v>
                </c:pt>
                <c:pt idx="10">
                  <c:v>6.481092926380537</c:v>
                </c:pt>
                <c:pt idx="11">
                  <c:v>6.6005607248661837</c:v>
                </c:pt>
                <c:pt idx="12">
                  <c:v>6.6052537382269039</c:v>
                </c:pt>
                <c:pt idx="13">
                  <c:v>6.6099648753674662</c:v>
                </c:pt>
                <c:pt idx="14">
                  <c:v>6.6146941873170562</c:v>
                </c:pt>
                <c:pt idx="15">
                  <c:v>6.6194417249308195</c:v>
                </c:pt>
                <c:pt idx="16">
                  <c:v>6.6242075388855577</c:v>
                </c:pt>
                <c:pt idx="17">
                  <c:v>6.6289916796753934</c:v>
                </c:pt>
                <c:pt idx="18">
                  <c:v>6.6337941976074326</c:v>
                </c:pt>
                <c:pt idx="19">
                  <c:v>6.6386151427973932</c:v>
                </c:pt>
                <c:pt idx="20">
                  <c:v>6.6434545651652233</c:v>
                </c:pt>
                <c:pt idx="21">
                  <c:v>6.6483125144306854</c:v>
                </c:pt>
                <c:pt idx="22">
                  <c:v>6.653189040108936</c:v>
                </c:pt>
                <c:pt idx="23">
                  <c:v>6.6580841915060924</c:v>
                </c:pt>
                <c:pt idx="24">
                  <c:v>6.662998017714755</c:v>
                </c:pt>
                <c:pt idx="25">
                  <c:v>6.6679305676095382</c:v>
                </c:pt>
                <c:pt idx="26">
                  <c:v>6.6728818898425777</c:v>
                </c:pt>
                <c:pt idx="27">
                  <c:v>6.6778520328390174</c:v>
                </c:pt>
                <c:pt idx="28">
                  <c:v>6.6828410447924824</c:v>
                </c:pt>
                <c:pt idx="29">
                  <c:v>6.687848973660544</c:v>
                </c:pt>
                <c:pt idx="30">
                  <c:v>6.6928758671601578</c:v>
                </c:pt>
                <c:pt idx="31">
                  <c:v>6.6979217727631006</c:v>
                </c:pt>
                <c:pt idx="32">
                  <c:v>6.7029867376913925</c:v>
                </c:pt>
                <c:pt idx="33">
                  <c:v>6.7080708089126961</c:v>
                </c:pt>
                <c:pt idx="34">
                  <c:v>6.7131740331357195</c:v>
                </c:pt>
                <c:pt idx="35">
                  <c:v>6.7182964568055947</c:v>
                </c:pt>
                <c:pt idx="36">
                  <c:v>6.5912670205079493</c:v>
                </c:pt>
                <c:pt idx="37">
                  <c:v>6.5977524917695796</c:v>
                </c:pt>
                <c:pt idx="38">
                  <c:v>6.6042504111822016</c:v>
                </c:pt>
                <c:pt idx="39">
                  <c:v>6.6107607667714081</c:v>
                </c:pt>
                <c:pt idx="40">
                  <c:v>6.6172835463682009</c:v>
                </c:pt>
                <c:pt idx="41">
                  <c:v>6.6238187376095325</c:v>
                </c:pt>
                <c:pt idx="42">
                  <c:v>6.6303663279388498</c:v>
                </c:pt>
                <c:pt idx="43">
                  <c:v>6.6369263035498847</c:v>
                </c:pt>
                <c:pt idx="44">
                  <c:v>6.6434986538306759</c:v>
                </c:pt>
                <c:pt idx="45">
                  <c:v>6.6500833643606585</c:v>
                </c:pt>
                <c:pt idx="46">
                  <c:v>6.6566804218165796</c:v>
                </c:pt>
                <c:pt idx="47">
                  <c:v>6.66328981268187</c:v>
                </c:pt>
                <c:pt idx="48">
                  <c:v>6.6699115232524759</c:v>
                </c:pt>
              </c:numCache>
            </c:numRef>
          </c:yVal>
          <c:smooth val="1"/>
          <c:extLst>
            <c:ext xmlns:c16="http://schemas.microsoft.com/office/drawing/2014/chart" uri="{C3380CC4-5D6E-409C-BE32-E72D297353CC}">
              <c16:uniqueId val="{0000000A-FEA8-4079-939B-118D7E510EE0}"/>
            </c:ext>
          </c:extLst>
        </c:ser>
        <c:ser>
          <c:idx val="11"/>
          <c:order val="11"/>
          <c:tx>
            <c:v>Z-branch-2</c:v>
          </c:tx>
          <c:spPr>
            <a:ln w="28575" cap="rnd">
              <a:solidFill>
                <a:srgbClr val="0070C0"/>
              </a:solidFill>
              <a:prstDash val="dash"/>
              <a:round/>
            </a:ln>
            <a:effectLst/>
          </c:spPr>
          <c:marker>
            <c:symbol val="none"/>
          </c:marker>
          <c:xVal>
            <c:numRef>
              <c:f>'Island Problem'!$T$23:$T$39</c:f>
              <c:numCache>
                <c:formatCode>General</c:formatCode>
                <c:ptCount val="17"/>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numCache>
            </c:numRef>
          </c:xVal>
          <c:yVal>
            <c:numRef>
              <c:f>'Island Problem'!$Y$23:$Y$39</c:f>
              <c:numCache>
                <c:formatCode>General</c:formatCode>
                <c:ptCount val="17"/>
                <c:pt idx="0">
                  <c:v>6.4166313877856638</c:v>
                </c:pt>
                <c:pt idx="1">
                  <c:v>6.4229172849780349</c:v>
                </c:pt>
                <c:pt idx="2">
                  <c:v>6.429244594391994</c:v>
                </c:pt>
                <c:pt idx="3">
                  <c:v>6.4356135554692493</c:v>
                </c:pt>
                <c:pt idx="4">
                  <c:v>6.442024407483034</c:v>
                </c:pt>
                <c:pt idx="5">
                  <c:v>6.4484773894968326</c:v>
                </c:pt>
                <c:pt idx="6">
                  <c:v>6.4549727403223969</c:v>
                </c:pt>
                <c:pt idx="7">
                  <c:v>6.4615106984769994</c:v>
                </c:pt>
                <c:pt idx="8">
                  <c:v>6.4680915021399779</c:v>
                </c:pt>
                <c:pt idx="9">
                  <c:v>6.4747153891085176</c:v>
                </c:pt>
                <c:pt idx="10">
                  <c:v>6.4813825967527237</c:v>
                </c:pt>
                <c:pt idx="11">
                  <c:v>6.4880933619699643</c:v>
                </c:pt>
                <c:pt idx="12">
                  <c:v>6.4948479211384829</c:v>
                </c:pt>
                <c:pt idx="13">
                  <c:v>6.5016465100703131</c:v>
                </c:pt>
                <c:pt idx="14">
                  <c:v>6.5084893639634576</c:v>
                </c:pt>
                <c:pt idx="15">
                  <c:v>6.5153767173533943</c:v>
                </c:pt>
                <c:pt idx="16">
                  <c:v>6.5223088040638553</c:v>
                </c:pt>
              </c:numCache>
            </c:numRef>
          </c:yVal>
          <c:smooth val="1"/>
          <c:extLst>
            <c:ext xmlns:c16="http://schemas.microsoft.com/office/drawing/2014/chart" uri="{C3380CC4-5D6E-409C-BE32-E72D297353CC}">
              <c16:uniqueId val="{0000000B-FEA8-4079-939B-118D7E510EE0}"/>
            </c:ext>
          </c:extLst>
        </c:ser>
        <c:ser>
          <c:idx val="12"/>
          <c:order val="12"/>
          <c:tx>
            <c:v>H</c:v>
          </c:tx>
          <c:spPr>
            <a:ln w="28575" cap="rnd">
              <a:solidFill>
                <a:srgbClr val="00B050"/>
              </a:solidFill>
              <a:round/>
            </a:ln>
            <a:effectLst/>
          </c:spPr>
          <c:marker>
            <c:symbol val="none"/>
          </c:marker>
          <c:xVal>
            <c:numRef>
              <c:f>'Island Problem'!$T$12:$T$60</c:f>
              <c:numCache>
                <c:formatCode>General</c:formatCode>
                <c:ptCount val="49"/>
                <c:pt idx="0">
                  <c:v>0</c:v>
                </c:pt>
                <c:pt idx="1">
                  <c:v>25</c:v>
                </c:pt>
                <c:pt idx="2">
                  <c:v>50</c:v>
                </c:pt>
                <c:pt idx="3">
                  <c:v>75</c:v>
                </c:pt>
                <c:pt idx="4">
                  <c:v>100</c:v>
                </c:pt>
                <c:pt idx="5">
                  <c:v>125</c:v>
                </c:pt>
                <c:pt idx="6">
                  <c:v>150</c:v>
                </c:pt>
                <c:pt idx="7">
                  <c:v>175</c:v>
                </c:pt>
                <c:pt idx="8">
                  <c:v>200</c:v>
                </c:pt>
                <c:pt idx="9">
                  <c:v>225</c:v>
                </c:pt>
                <c:pt idx="10">
                  <c:v>250</c:v>
                </c:pt>
                <c:pt idx="11">
                  <c:v>250</c:v>
                </c:pt>
                <c:pt idx="12">
                  <c:v>275</c:v>
                </c:pt>
                <c:pt idx="13">
                  <c:v>300</c:v>
                </c:pt>
                <c:pt idx="14">
                  <c:v>325</c:v>
                </c:pt>
                <c:pt idx="15">
                  <c:v>350</c:v>
                </c:pt>
                <c:pt idx="16">
                  <c:v>375</c:v>
                </c:pt>
                <c:pt idx="17">
                  <c:v>400</c:v>
                </c:pt>
                <c:pt idx="18">
                  <c:v>425</c:v>
                </c:pt>
                <c:pt idx="19">
                  <c:v>450</c:v>
                </c:pt>
                <c:pt idx="20">
                  <c:v>475</c:v>
                </c:pt>
                <c:pt idx="21">
                  <c:v>500</c:v>
                </c:pt>
                <c:pt idx="22">
                  <c:v>525</c:v>
                </c:pt>
                <c:pt idx="23">
                  <c:v>550</c:v>
                </c:pt>
                <c:pt idx="24">
                  <c:v>575</c:v>
                </c:pt>
                <c:pt idx="25">
                  <c:v>600</c:v>
                </c:pt>
                <c:pt idx="26">
                  <c:v>625</c:v>
                </c:pt>
                <c:pt idx="27">
                  <c:v>650</c:v>
                </c:pt>
                <c:pt idx="28">
                  <c:v>675</c:v>
                </c:pt>
                <c:pt idx="29">
                  <c:v>700</c:v>
                </c:pt>
                <c:pt idx="30">
                  <c:v>725</c:v>
                </c:pt>
                <c:pt idx="31">
                  <c:v>750</c:v>
                </c:pt>
                <c:pt idx="32">
                  <c:v>775</c:v>
                </c:pt>
                <c:pt idx="33">
                  <c:v>800</c:v>
                </c:pt>
                <c:pt idx="34">
                  <c:v>825</c:v>
                </c:pt>
                <c:pt idx="35">
                  <c:v>850</c:v>
                </c:pt>
                <c:pt idx="36">
                  <c:v>850</c:v>
                </c:pt>
                <c:pt idx="37">
                  <c:v>875</c:v>
                </c:pt>
                <c:pt idx="38">
                  <c:v>900</c:v>
                </c:pt>
                <c:pt idx="39">
                  <c:v>925</c:v>
                </c:pt>
                <c:pt idx="40">
                  <c:v>950</c:v>
                </c:pt>
                <c:pt idx="41">
                  <c:v>975</c:v>
                </c:pt>
                <c:pt idx="42">
                  <c:v>1000</c:v>
                </c:pt>
                <c:pt idx="43">
                  <c:v>1025</c:v>
                </c:pt>
                <c:pt idx="44">
                  <c:v>1050</c:v>
                </c:pt>
                <c:pt idx="45">
                  <c:v>1075</c:v>
                </c:pt>
                <c:pt idx="46">
                  <c:v>1100</c:v>
                </c:pt>
                <c:pt idx="47">
                  <c:v>1125</c:v>
                </c:pt>
                <c:pt idx="48">
                  <c:v>1150</c:v>
                </c:pt>
              </c:numCache>
            </c:numRef>
          </c:xVal>
          <c:yVal>
            <c:numRef>
              <c:f>'Island Problem'!$V$12:$V$60</c:f>
              <c:numCache>
                <c:formatCode>General</c:formatCode>
                <c:ptCount val="49"/>
                <c:pt idx="0">
                  <c:v>6.4564923185745426</c:v>
                </c:pt>
                <c:pt idx="1">
                  <c:v>6.4745387923017095</c:v>
                </c:pt>
                <c:pt idx="2">
                  <c:v>6.4925083858371462</c:v>
                </c:pt>
                <c:pt idx="3">
                  <c:v>6.5104022744061201</c:v>
                </c:pt>
                <c:pt idx="4">
                  <c:v>6.528221606279593</c:v>
                </c:pt>
                <c:pt idx="5">
                  <c:v>6.5459675036112674</c:v>
                </c:pt>
                <c:pt idx="6">
                  <c:v>6.5636410632419011</c:v>
                </c:pt>
                <c:pt idx="7">
                  <c:v>6.5812433574724105</c:v>
                </c:pt>
                <c:pt idx="8">
                  <c:v>6.5987754348072372</c:v>
                </c:pt>
                <c:pt idx="9">
                  <c:v>6.6162383206693418</c:v>
                </c:pt>
                <c:pt idx="10">
                  <c:v>6.6336330119130587</c:v>
                </c:pt>
                <c:pt idx="11">
                  <c:v>6.6336330119130578</c:v>
                </c:pt>
                <c:pt idx="12">
                  <c:v>6.6384056063397709</c:v>
                </c:pt>
                <c:pt idx="13">
                  <c:v>6.6431964263856118</c:v>
                </c:pt>
                <c:pt idx="14">
                  <c:v>6.6480055219295666</c:v>
                </c:pt>
                <c:pt idx="15">
                  <c:v>6.6528329426645083</c:v>
                </c:pt>
                <c:pt idx="16">
                  <c:v>6.6576787380928986</c:v>
                </c:pt>
                <c:pt idx="17">
                  <c:v>6.6625429575224668</c:v>
                </c:pt>
                <c:pt idx="18">
                  <c:v>6.6674256500618858</c:v>
                </c:pt>
                <c:pt idx="19">
                  <c:v>6.6723268646164167</c:v>
                </c:pt>
                <c:pt idx="20">
                  <c:v>6.6772466498835445</c:v>
                </c:pt>
                <c:pt idx="21">
                  <c:v>6.6821850543485812</c:v>
                </c:pt>
                <c:pt idx="22">
                  <c:v>6.6871421262802695</c:v>
                </c:pt>
                <c:pt idx="23">
                  <c:v>6.6921179137263698</c:v>
                </c:pt>
                <c:pt idx="24">
                  <c:v>6.6971124645092148</c:v>
                </c:pt>
                <c:pt idx="25">
                  <c:v>6.70212582622126</c:v>
                </c:pt>
                <c:pt idx="26">
                  <c:v>6.7071580462206288</c:v>
                </c:pt>
                <c:pt idx="27">
                  <c:v>6.7122091716266263</c:v>
                </c:pt>
                <c:pt idx="28">
                  <c:v>6.7172792493152498</c:v>
                </c:pt>
                <c:pt idx="29">
                  <c:v>6.7223683259146885</c:v>
                </c:pt>
                <c:pt idx="30">
                  <c:v>6.727476447800802</c:v>
                </c:pt>
                <c:pt idx="31">
                  <c:v>6.7326036610925959</c:v>
                </c:pt>
                <c:pt idx="32">
                  <c:v>6.7377500116476901</c:v>
                </c:pt>
                <c:pt idx="33">
                  <c:v>6.742915545057758</c:v>
                </c:pt>
                <c:pt idx="34">
                  <c:v>6.7481003066439831</c:v>
                </c:pt>
                <c:pt idx="35">
                  <c:v>6.753304341452484</c:v>
                </c:pt>
                <c:pt idx="36">
                  <c:v>6.753304341452484</c:v>
                </c:pt>
                <c:pt idx="37">
                  <c:v>6.759973933378383</c:v>
                </c:pt>
                <c:pt idx="38">
                  <c:v>6.7666556336478685</c:v>
                </c:pt>
                <c:pt idx="39">
                  <c:v>6.7733494282949378</c:v>
                </c:pt>
                <c:pt idx="40">
                  <c:v>6.7800553031723059</c:v>
                </c:pt>
                <c:pt idx="41">
                  <c:v>6.7867732439520534</c:v>
                </c:pt>
                <c:pt idx="42">
                  <c:v>6.7935032361262904</c:v>
                </c:pt>
                <c:pt idx="43">
                  <c:v>6.8002452640070228</c:v>
                </c:pt>
                <c:pt idx="44">
                  <c:v>6.8069993149350161</c:v>
                </c:pt>
                <c:pt idx="45">
                  <c:v>6.8137653726476719</c:v>
                </c:pt>
                <c:pt idx="46">
                  <c:v>6.8205434219255423</c:v>
                </c:pt>
                <c:pt idx="47">
                  <c:v>6.82733344737008</c:v>
                </c:pt>
                <c:pt idx="48">
                  <c:v>6.8341354334093003</c:v>
                </c:pt>
              </c:numCache>
            </c:numRef>
          </c:yVal>
          <c:smooth val="1"/>
          <c:extLst>
            <c:ext xmlns:c16="http://schemas.microsoft.com/office/drawing/2014/chart" uri="{C3380CC4-5D6E-409C-BE32-E72D297353CC}">
              <c16:uniqueId val="{0000000C-FEA8-4079-939B-118D7E510EE0}"/>
            </c:ext>
          </c:extLst>
        </c:ser>
        <c:ser>
          <c:idx val="13"/>
          <c:order val="13"/>
          <c:tx>
            <c:v>H-Branch-2</c:v>
          </c:tx>
          <c:spPr>
            <a:ln w="28575" cap="rnd">
              <a:solidFill>
                <a:srgbClr val="00B050"/>
              </a:solidFill>
              <a:round/>
            </a:ln>
            <a:effectLst/>
          </c:spPr>
          <c:marker>
            <c:symbol val="none"/>
          </c:marker>
          <c:xVal>
            <c:numRef>
              <c:f>'Island Problem'!$T$23:$T$39</c:f>
              <c:numCache>
                <c:formatCode>General</c:formatCode>
                <c:ptCount val="17"/>
                <c:pt idx="0">
                  <c:v>250</c:v>
                </c:pt>
                <c:pt idx="1">
                  <c:v>275</c:v>
                </c:pt>
                <c:pt idx="2">
                  <c:v>300</c:v>
                </c:pt>
                <c:pt idx="3">
                  <c:v>325</c:v>
                </c:pt>
                <c:pt idx="4">
                  <c:v>350</c:v>
                </c:pt>
                <c:pt idx="5">
                  <c:v>375</c:v>
                </c:pt>
                <c:pt idx="6">
                  <c:v>400</c:v>
                </c:pt>
                <c:pt idx="7">
                  <c:v>425</c:v>
                </c:pt>
                <c:pt idx="8">
                  <c:v>450</c:v>
                </c:pt>
                <c:pt idx="9">
                  <c:v>475</c:v>
                </c:pt>
                <c:pt idx="10">
                  <c:v>500</c:v>
                </c:pt>
                <c:pt idx="11">
                  <c:v>525</c:v>
                </c:pt>
                <c:pt idx="12">
                  <c:v>550</c:v>
                </c:pt>
                <c:pt idx="13">
                  <c:v>575</c:v>
                </c:pt>
                <c:pt idx="14">
                  <c:v>600</c:v>
                </c:pt>
                <c:pt idx="15">
                  <c:v>625</c:v>
                </c:pt>
                <c:pt idx="16">
                  <c:v>650</c:v>
                </c:pt>
              </c:numCache>
            </c:numRef>
          </c:xVal>
          <c:yVal>
            <c:numRef>
              <c:f>'Island Problem'!$X$23:$X$39</c:f>
              <c:numCache>
                <c:formatCode>General</c:formatCode>
                <c:ptCount val="17"/>
                <c:pt idx="0">
                  <c:v>6.6336330119130622</c:v>
                </c:pt>
                <c:pt idx="1">
                  <c:v>6.6407778343909545</c:v>
                </c:pt>
                <c:pt idx="2">
                  <c:v>6.6479662995577558</c:v>
                </c:pt>
                <c:pt idx="3">
                  <c:v>6.6551986193523458</c:v>
                </c:pt>
                <c:pt idx="4">
                  <c:v>6.6624750049218475</c:v>
                </c:pt>
                <c:pt idx="5">
                  <c:v>6.669795666577377</c:v>
                </c:pt>
                <c:pt idx="6">
                  <c:v>6.6771608137492517</c:v>
                </c:pt>
                <c:pt idx="7">
                  <c:v>6.6845706549416555</c:v>
                </c:pt>
                <c:pt idx="8">
                  <c:v>6.6920253976867849</c:v>
                </c:pt>
                <c:pt idx="9">
                  <c:v>6.699525248498456</c:v>
                </c:pt>
                <c:pt idx="10">
                  <c:v>6.7070704128252157</c:v>
                </c:pt>
                <c:pt idx="11">
                  <c:v>6.7146610950029482</c:v>
                </c:pt>
                <c:pt idx="12">
                  <c:v>6.7222974982069852</c:v>
                </c:pt>
                <c:pt idx="13">
                  <c:v>6.7299798244037525</c:v>
                </c:pt>
                <c:pt idx="14">
                  <c:v>6.7377082743019336</c:v>
                </c:pt>
                <c:pt idx="15">
                  <c:v>6.7454830473032015</c:v>
                </c:pt>
                <c:pt idx="16">
                  <c:v>6.7533043414524858</c:v>
                </c:pt>
              </c:numCache>
            </c:numRef>
          </c:yVal>
          <c:smooth val="1"/>
          <c:extLst>
            <c:ext xmlns:c16="http://schemas.microsoft.com/office/drawing/2014/chart" uri="{C3380CC4-5D6E-409C-BE32-E72D297353CC}">
              <c16:uniqueId val="{0000000D-FEA8-4079-939B-118D7E510EE0}"/>
            </c:ext>
          </c:extLst>
        </c:ser>
        <c:dLbls>
          <c:showLegendKey val="0"/>
          <c:showVal val="0"/>
          <c:showCatName val="0"/>
          <c:showSerName val="0"/>
          <c:showPercent val="0"/>
          <c:showBubbleSize val="0"/>
        </c:dLbls>
        <c:axId val="1408445039"/>
        <c:axId val="1408445519"/>
      </c:scatterChart>
      <c:valAx>
        <c:axId val="1408445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Streamwise X(ft)&lt;--+ve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45519"/>
        <c:crosses val="autoZero"/>
        <c:crossBetween val="midCat"/>
      </c:valAx>
      <c:valAx>
        <c:axId val="1408445519"/>
        <c:scaling>
          <c:orientation val="minMax"/>
          <c:max val="1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Elevation(ft)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45039"/>
        <c:crosses val="autoZero"/>
        <c:crossBetween val="midCat"/>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z</c:v>
          </c:tx>
          <c:spPr>
            <a:ln w="28575" cap="rnd">
              <a:solidFill>
                <a:schemeClr val="tx1"/>
              </a:solidFill>
              <a:round/>
            </a:ln>
            <a:effectLst/>
          </c:spPr>
          <c:marker>
            <c:symbol val="none"/>
          </c:marker>
          <c:xVal>
            <c:numRef>
              <c:f>'(Case 2)'!$W$15:$W$30</c:f>
              <c:numCache>
                <c:formatCode>General</c:formatCode>
                <c:ptCount val="16"/>
                <c:pt idx="0">
                  <c:v>0</c:v>
                </c:pt>
                <c:pt idx="1">
                  <c:v>20</c:v>
                </c:pt>
                <c:pt idx="2">
                  <c:v>40</c:v>
                </c:pt>
                <c:pt idx="3">
                  <c:v>60</c:v>
                </c:pt>
                <c:pt idx="4">
                  <c:v>80</c:v>
                </c:pt>
                <c:pt idx="5">
                  <c:v>100</c:v>
                </c:pt>
                <c:pt idx="6">
                  <c:v>100</c:v>
                </c:pt>
                <c:pt idx="7">
                  <c:v>120</c:v>
                </c:pt>
                <c:pt idx="8">
                  <c:v>140</c:v>
                </c:pt>
                <c:pt idx="9">
                  <c:v>150</c:v>
                </c:pt>
                <c:pt idx="10">
                  <c:v>150</c:v>
                </c:pt>
                <c:pt idx="11">
                  <c:v>160</c:v>
                </c:pt>
                <c:pt idx="12">
                  <c:v>170</c:v>
                </c:pt>
                <c:pt idx="13">
                  <c:v>180</c:v>
                </c:pt>
                <c:pt idx="14">
                  <c:v>190</c:v>
                </c:pt>
                <c:pt idx="15">
                  <c:v>200</c:v>
                </c:pt>
              </c:numCache>
            </c:numRef>
          </c:xVal>
          <c:yVal>
            <c:numRef>
              <c:f>'(Case 2)'!$X$15:$X$30</c:f>
              <c:numCache>
                <c:formatCode>General</c:formatCode>
                <c:ptCount val="16"/>
                <c:pt idx="0">
                  <c:v>0</c:v>
                </c:pt>
                <c:pt idx="1">
                  <c:v>0.03</c:v>
                </c:pt>
                <c:pt idx="2">
                  <c:v>0.06</c:v>
                </c:pt>
                <c:pt idx="3">
                  <c:v>0.09</c:v>
                </c:pt>
                <c:pt idx="4">
                  <c:v>0.12</c:v>
                </c:pt>
                <c:pt idx="5">
                  <c:v>0.15</c:v>
                </c:pt>
                <c:pt idx="6">
                  <c:v>0.15</c:v>
                </c:pt>
                <c:pt idx="7">
                  <c:v>0.18</c:v>
                </c:pt>
                <c:pt idx="8">
                  <c:v>0.21</c:v>
                </c:pt>
                <c:pt idx="9">
                  <c:v>0.22500000000000001</c:v>
                </c:pt>
                <c:pt idx="10">
                  <c:v>0.22500000000000001</c:v>
                </c:pt>
                <c:pt idx="11">
                  <c:v>0.24</c:v>
                </c:pt>
                <c:pt idx="12">
                  <c:v>0.255</c:v>
                </c:pt>
                <c:pt idx="13">
                  <c:v>0.27</c:v>
                </c:pt>
                <c:pt idx="14">
                  <c:v>0.28500000000000003</c:v>
                </c:pt>
                <c:pt idx="15">
                  <c:v>0.3</c:v>
                </c:pt>
              </c:numCache>
            </c:numRef>
          </c:yVal>
          <c:smooth val="1"/>
          <c:extLst>
            <c:ext xmlns:c16="http://schemas.microsoft.com/office/drawing/2014/chart" uri="{C3380CC4-5D6E-409C-BE32-E72D297353CC}">
              <c16:uniqueId val="{00000000-8FA4-4249-89CA-6C565918DC8F}"/>
            </c:ext>
          </c:extLst>
        </c:ser>
        <c:ser>
          <c:idx val="1"/>
          <c:order val="1"/>
          <c:tx>
            <c:v>Z</c:v>
          </c:tx>
          <c:spPr>
            <a:ln w="28575" cap="rnd">
              <a:solidFill>
                <a:srgbClr val="0070C0"/>
              </a:solidFill>
              <a:prstDash val="dash"/>
              <a:round/>
            </a:ln>
            <a:effectLst/>
          </c:spPr>
          <c:marker>
            <c:symbol val="none"/>
          </c:marker>
          <c:xVal>
            <c:numRef>
              <c:f>'(Case 2)'!$W$15:$W$30</c:f>
              <c:numCache>
                <c:formatCode>General</c:formatCode>
                <c:ptCount val="16"/>
                <c:pt idx="0">
                  <c:v>0</c:v>
                </c:pt>
                <c:pt idx="1">
                  <c:v>20</c:v>
                </c:pt>
                <c:pt idx="2">
                  <c:v>40</c:v>
                </c:pt>
                <c:pt idx="3">
                  <c:v>60</c:v>
                </c:pt>
                <c:pt idx="4">
                  <c:v>80</c:v>
                </c:pt>
                <c:pt idx="5">
                  <c:v>100</c:v>
                </c:pt>
                <c:pt idx="6">
                  <c:v>100</c:v>
                </c:pt>
                <c:pt idx="7">
                  <c:v>120</c:v>
                </c:pt>
                <c:pt idx="8">
                  <c:v>140</c:v>
                </c:pt>
                <c:pt idx="9">
                  <c:v>150</c:v>
                </c:pt>
                <c:pt idx="10">
                  <c:v>150</c:v>
                </c:pt>
                <c:pt idx="11">
                  <c:v>160</c:v>
                </c:pt>
                <c:pt idx="12">
                  <c:v>170</c:v>
                </c:pt>
                <c:pt idx="13">
                  <c:v>180</c:v>
                </c:pt>
                <c:pt idx="14">
                  <c:v>190</c:v>
                </c:pt>
                <c:pt idx="15">
                  <c:v>200</c:v>
                </c:pt>
              </c:numCache>
            </c:numRef>
          </c:xVal>
          <c:yVal>
            <c:numRef>
              <c:f>'(Case 2)'!$Y$15:$Y$30</c:f>
              <c:numCache>
                <c:formatCode>0.000</c:formatCode>
                <c:ptCount val="16"/>
                <c:pt idx="0">
                  <c:v>1.4</c:v>
                </c:pt>
                <c:pt idx="1">
                  <c:v>1.4006980166648668</c:v>
                </c:pt>
                <c:pt idx="2">
                  <c:v>1.4014376049771862</c:v>
                </c:pt>
                <c:pt idx="3">
                  <c:v>1.4022223865575161</c:v>
                </c:pt>
                <c:pt idx="4">
                  <c:v>1.4030563954735693</c:v>
                </c:pt>
                <c:pt idx="5">
                  <c:v>1.4039441356567688</c:v>
                </c:pt>
                <c:pt idx="6">
                  <c:v>1.3820355096309149</c:v>
                </c:pt>
                <c:pt idx="7">
                  <c:v>1.3865185020804383</c:v>
                </c:pt>
                <c:pt idx="8" formatCode="General">
                  <c:v>1.39126505891585</c:v>
                </c:pt>
                <c:pt idx="10" formatCode="General">
                  <c:v>2.0928312835301548</c:v>
                </c:pt>
                <c:pt idx="11" formatCode="General">
                  <c:v>2.0935955882457167</c:v>
                </c:pt>
                <c:pt idx="12" formatCode="General">
                  <c:v>2.0943742359665727</c:v>
                </c:pt>
                <c:pt idx="13" formatCode="General">
                  <c:v>2.095167617137168</c:v>
                </c:pt>
                <c:pt idx="14" formatCode="General">
                  <c:v>2.0959761358733928</c:v>
                </c:pt>
                <c:pt idx="15" formatCode="General">
                  <c:v>2.0968002105396644</c:v>
                </c:pt>
              </c:numCache>
            </c:numRef>
          </c:yVal>
          <c:smooth val="1"/>
          <c:extLst>
            <c:ext xmlns:c16="http://schemas.microsoft.com/office/drawing/2014/chart" uri="{C3380CC4-5D6E-409C-BE32-E72D297353CC}">
              <c16:uniqueId val="{00000001-8FA4-4249-89CA-6C565918DC8F}"/>
            </c:ext>
          </c:extLst>
        </c:ser>
        <c:ser>
          <c:idx val="2"/>
          <c:order val="2"/>
          <c:tx>
            <c:v>Zc d/s</c:v>
          </c:tx>
          <c:spPr>
            <a:ln w="28575" cap="rnd">
              <a:solidFill>
                <a:srgbClr val="FF0000"/>
              </a:solidFill>
              <a:round/>
            </a:ln>
            <a:effectLst/>
          </c:spPr>
          <c:marker>
            <c:symbol val="none"/>
          </c:marker>
          <c:xVal>
            <c:numRef>
              <c:f>'(Case 2)'!$W$15:$W$20</c:f>
              <c:numCache>
                <c:formatCode>General</c:formatCode>
                <c:ptCount val="6"/>
                <c:pt idx="0">
                  <c:v>0</c:v>
                </c:pt>
                <c:pt idx="1">
                  <c:v>20</c:v>
                </c:pt>
                <c:pt idx="2">
                  <c:v>40</c:v>
                </c:pt>
                <c:pt idx="3">
                  <c:v>60</c:v>
                </c:pt>
                <c:pt idx="4">
                  <c:v>80</c:v>
                </c:pt>
                <c:pt idx="5">
                  <c:v>100</c:v>
                </c:pt>
              </c:numCache>
            </c:numRef>
          </c:xVal>
          <c:yVal>
            <c:numRef>
              <c:f>'(Case 2)'!$Z$15:$Z$20</c:f>
              <c:numCache>
                <c:formatCode>0.000</c:formatCode>
                <c:ptCount val="6"/>
                <c:pt idx="0">
                  <c:v>0.33231083202179479</c:v>
                </c:pt>
                <c:pt idx="1">
                  <c:v>0.36231083202179482</c:v>
                </c:pt>
                <c:pt idx="2">
                  <c:v>0.39231083202179479</c:v>
                </c:pt>
                <c:pt idx="3">
                  <c:v>0.42231083202179476</c:v>
                </c:pt>
                <c:pt idx="4">
                  <c:v>0.45231083202179478</c:v>
                </c:pt>
                <c:pt idx="5">
                  <c:v>0.48231083202179481</c:v>
                </c:pt>
              </c:numCache>
            </c:numRef>
          </c:yVal>
          <c:smooth val="1"/>
          <c:extLst>
            <c:ext xmlns:c16="http://schemas.microsoft.com/office/drawing/2014/chart" uri="{C3380CC4-5D6E-409C-BE32-E72D297353CC}">
              <c16:uniqueId val="{00000002-8FA4-4249-89CA-6C565918DC8F}"/>
            </c:ext>
          </c:extLst>
        </c:ser>
        <c:ser>
          <c:idx val="3"/>
          <c:order val="3"/>
          <c:tx>
            <c:v>zc u/s</c:v>
          </c:tx>
          <c:spPr>
            <a:ln w="28575" cap="rnd">
              <a:solidFill>
                <a:srgbClr val="FF0000"/>
              </a:solidFill>
              <a:round/>
            </a:ln>
            <a:effectLst/>
          </c:spPr>
          <c:marker>
            <c:symbol val="none"/>
          </c:marker>
          <c:xVal>
            <c:numRef>
              <c:f>'(Case 2)'!$W$21:$W$30</c:f>
              <c:numCache>
                <c:formatCode>General</c:formatCode>
                <c:ptCount val="10"/>
                <c:pt idx="0">
                  <c:v>100</c:v>
                </c:pt>
                <c:pt idx="1">
                  <c:v>120</c:v>
                </c:pt>
                <c:pt idx="2">
                  <c:v>140</c:v>
                </c:pt>
                <c:pt idx="3">
                  <c:v>150</c:v>
                </c:pt>
                <c:pt idx="4">
                  <c:v>150</c:v>
                </c:pt>
                <c:pt idx="5">
                  <c:v>160</c:v>
                </c:pt>
                <c:pt idx="6">
                  <c:v>170</c:v>
                </c:pt>
                <c:pt idx="7">
                  <c:v>180</c:v>
                </c:pt>
                <c:pt idx="8">
                  <c:v>190</c:v>
                </c:pt>
                <c:pt idx="9">
                  <c:v>200</c:v>
                </c:pt>
              </c:numCache>
            </c:numRef>
          </c:xVal>
          <c:yVal>
            <c:numRef>
              <c:f>'(Case 2)'!$Z$21:$Z$30</c:f>
              <c:numCache>
                <c:formatCode>0.000</c:formatCode>
                <c:ptCount val="10"/>
                <c:pt idx="0">
                  <c:v>0.61713635126797373</c:v>
                </c:pt>
                <c:pt idx="1">
                  <c:v>0.64713635126797375</c:v>
                </c:pt>
                <c:pt idx="2">
                  <c:v>0.67713635126797378</c:v>
                </c:pt>
                <c:pt idx="3">
                  <c:v>0.69213635126797379</c:v>
                </c:pt>
                <c:pt idx="4">
                  <c:v>0.69213635126797379</c:v>
                </c:pt>
                <c:pt idx="5">
                  <c:v>0.70713635126797381</c:v>
                </c:pt>
                <c:pt idx="6">
                  <c:v>0.72213635126797371</c:v>
                </c:pt>
                <c:pt idx="7">
                  <c:v>0.73713635126797383</c:v>
                </c:pt>
                <c:pt idx="8">
                  <c:v>0.75213635126797374</c:v>
                </c:pt>
                <c:pt idx="9">
                  <c:v>0.76713635126797375</c:v>
                </c:pt>
              </c:numCache>
            </c:numRef>
          </c:yVal>
          <c:smooth val="1"/>
          <c:extLst>
            <c:ext xmlns:c16="http://schemas.microsoft.com/office/drawing/2014/chart" uri="{C3380CC4-5D6E-409C-BE32-E72D297353CC}">
              <c16:uniqueId val="{00000003-8FA4-4249-89CA-6C565918DC8F}"/>
            </c:ext>
          </c:extLst>
        </c:ser>
        <c:ser>
          <c:idx val="4"/>
          <c:order val="4"/>
          <c:tx>
            <c:v>zn d/s</c:v>
          </c:tx>
          <c:spPr>
            <a:ln w="28575" cap="rnd">
              <a:solidFill>
                <a:schemeClr val="tx1">
                  <a:lumMod val="50000"/>
                  <a:lumOff val="50000"/>
                </a:schemeClr>
              </a:solidFill>
              <a:round/>
            </a:ln>
            <a:effectLst/>
          </c:spPr>
          <c:marker>
            <c:symbol val="none"/>
          </c:marker>
          <c:xVal>
            <c:numRef>
              <c:f>'(Case 2)'!$W$15:$W$20</c:f>
              <c:numCache>
                <c:formatCode>General</c:formatCode>
                <c:ptCount val="6"/>
                <c:pt idx="0">
                  <c:v>0</c:v>
                </c:pt>
                <c:pt idx="1">
                  <c:v>20</c:v>
                </c:pt>
                <c:pt idx="2">
                  <c:v>40</c:v>
                </c:pt>
                <c:pt idx="3">
                  <c:v>60</c:v>
                </c:pt>
                <c:pt idx="4">
                  <c:v>80</c:v>
                </c:pt>
                <c:pt idx="5">
                  <c:v>100</c:v>
                </c:pt>
              </c:numCache>
            </c:numRef>
          </c:xVal>
          <c:yVal>
            <c:numRef>
              <c:f>'(Case 2)'!$AA$15:$AA$20</c:f>
              <c:numCache>
                <c:formatCode>0.000</c:formatCode>
                <c:ptCount val="6"/>
                <c:pt idx="0">
                  <c:v>0.45197290042911753</c:v>
                </c:pt>
                <c:pt idx="1">
                  <c:v>0.48197290042911756</c:v>
                </c:pt>
                <c:pt idx="2">
                  <c:v>0.51197290042911758</c:v>
                </c:pt>
                <c:pt idx="3">
                  <c:v>0.5419729004291175</c:v>
                </c:pt>
                <c:pt idx="4">
                  <c:v>0.57197290042911753</c:v>
                </c:pt>
                <c:pt idx="5">
                  <c:v>0.60197290042911755</c:v>
                </c:pt>
              </c:numCache>
            </c:numRef>
          </c:yVal>
          <c:smooth val="1"/>
          <c:extLst>
            <c:ext xmlns:c16="http://schemas.microsoft.com/office/drawing/2014/chart" uri="{C3380CC4-5D6E-409C-BE32-E72D297353CC}">
              <c16:uniqueId val="{00000004-8FA4-4249-89CA-6C565918DC8F}"/>
            </c:ext>
          </c:extLst>
        </c:ser>
        <c:ser>
          <c:idx val="5"/>
          <c:order val="5"/>
          <c:tx>
            <c:v>zn u/s</c:v>
          </c:tx>
          <c:spPr>
            <a:ln w="28575" cap="rnd">
              <a:solidFill>
                <a:schemeClr val="tx1">
                  <a:lumMod val="50000"/>
                  <a:lumOff val="50000"/>
                </a:schemeClr>
              </a:solidFill>
              <a:round/>
            </a:ln>
            <a:effectLst/>
          </c:spPr>
          <c:marker>
            <c:symbol val="none"/>
          </c:marker>
          <c:xVal>
            <c:numRef>
              <c:f>'(Case 2)'!$W$21:$W$30</c:f>
              <c:numCache>
                <c:formatCode>General</c:formatCode>
                <c:ptCount val="10"/>
                <c:pt idx="0">
                  <c:v>100</c:v>
                </c:pt>
                <c:pt idx="1">
                  <c:v>120</c:v>
                </c:pt>
                <c:pt idx="2">
                  <c:v>140</c:v>
                </c:pt>
                <c:pt idx="3">
                  <c:v>150</c:v>
                </c:pt>
                <c:pt idx="4">
                  <c:v>150</c:v>
                </c:pt>
                <c:pt idx="5">
                  <c:v>160</c:v>
                </c:pt>
                <c:pt idx="6">
                  <c:v>170</c:v>
                </c:pt>
                <c:pt idx="7">
                  <c:v>180</c:v>
                </c:pt>
                <c:pt idx="8">
                  <c:v>190</c:v>
                </c:pt>
                <c:pt idx="9">
                  <c:v>200</c:v>
                </c:pt>
              </c:numCache>
            </c:numRef>
          </c:xVal>
          <c:yVal>
            <c:numRef>
              <c:f>'(Case 2)'!$AA$21:$AA$30</c:f>
              <c:numCache>
                <c:formatCode>0.000</c:formatCode>
                <c:ptCount val="10"/>
                <c:pt idx="0">
                  <c:v>0.82702472853137121</c:v>
                </c:pt>
                <c:pt idx="1">
                  <c:v>0.85702472853137124</c:v>
                </c:pt>
                <c:pt idx="2">
                  <c:v>0.88702472853137115</c:v>
                </c:pt>
                <c:pt idx="3">
                  <c:v>0.90202472853137117</c:v>
                </c:pt>
                <c:pt idx="4">
                  <c:v>0.90202472853137117</c:v>
                </c:pt>
                <c:pt idx="5">
                  <c:v>0.91702472853137118</c:v>
                </c:pt>
                <c:pt idx="6">
                  <c:v>0.93202472853137119</c:v>
                </c:pt>
                <c:pt idx="7">
                  <c:v>0.94702472853137121</c:v>
                </c:pt>
                <c:pt idx="8">
                  <c:v>0.96202472853137122</c:v>
                </c:pt>
                <c:pt idx="9">
                  <c:v>0.97702472853137112</c:v>
                </c:pt>
              </c:numCache>
            </c:numRef>
          </c:yVal>
          <c:smooth val="1"/>
          <c:extLst>
            <c:ext xmlns:c16="http://schemas.microsoft.com/office/drawing/2014/chart" uri="{C3380CC4-5D6E-409C-BE32-E72D297353CC}">
              <c16:uniqueId val="{00000005-8FA4-4249-89CA-6C565918DC8F}"/>
            </c:ext>
          </c:extLst>
        </c:ser>
        <c:ser>
          <c:idx val="6"/>
          <c:order val="6"/>
          <c:tx>
            <c:v>H</c:v>
          </c:tx>
          <c:spPr>
            <a:ln w="28575" cap="rnd">
              <a:solidFill>
                <a:srgbClr val="00B050"/>
              </a:solidFill>
              <a:round/>
            </a:ln>
            <a:effectLst/>
          </c:spPr>
          <c:marker>
            <c:symbol val="none"/>
          </c:marker>
          <c:xVal>
            <c:numRef>
              <c:f>'(Case 2)'!$W$15:$W$30</c:f>
              <c:numCache>
                <c:formatCode>General</c:formatCode>
                <c:ptCount val="16"/>
                <c:pt idx="0">
                  <c:v>0</c:v>
                </c:pt>
                <c:pt idx="1">
                  <c:v>20</c:v>
                </c:pt>
                <c:pt idx="2">
                  <c:v>40</c:v>
                </c:pt>
                <c:pt idx="3">
                  <c:v>60</c:v>
                </c:pt>
                <c:pt idx="4">
                  <c:v>80</c:v>
                </c:pt>
                <c:pt idx="5">
                  <c:v>100</c:v>
                </c:pt>
                <c:pt idx="6">
                  <c:v>100</c:v>
                </c:pt>
                <c:pt idx="7">
                  <c:v>120</c:v>
                </c:pt>
                <c:pt idx="8">
                  <c:v>140</c:v>
                </c:pt>
                <c:pt idx="9">
                  <c:v>150</c:v>
                </c:pt>
                <c:pt idx="10">
                  <c:v>150</c:v>
                </c:pt>
                <c:pt idx="11">
                  <c:v>160</c:v>
                </c:pt>
                <c:pt idx="12">
                  <c:v>170</c:v>
                </c:pt>
                <c:pt idx="13">
                  <c:v>180</c:v>
                </c:pt>
                <c:pt idx="14">
                  <c:v>190</c:v>
                </c:pt>
                <c:pt idx="15">
                  <c:v>200</c:v>
                </c:pt>
              </c:numCache>
            </c:numRef>
          </c:xVal>
          <c:yVal>
            <c:numRef>
              <c:f>'(Case 2)'!$AB$15:$AB$30</c:f>
              <c:numCache>
                <c:formatCode>General</c:formatCode>
                <c:ptCount val="16"/>
                <c:pt idx="0">
                  <c:v>1.4093615427822503</c:v>
                </c:pt>
                <c:pt idx="1">
                  <c:v>1.4104640888267548</c:v>
                </c:pt>
                <c:pt idx="2">
                  <c:v>1.4116343731112275</c:v>
                </c:pt>
                <c:pt idx="3">
                  <c:v>1.4128782491737919</c:v>
                </c:pt>
                <c:pt idx="4">
                  <c:v>1.4142022149872584</c:v>
                </c:pt>
                <c:pt idx="5">
                  <c:v>1.4156134978668464</c:v>
                </c:pt>
                <c:pt idx="6">
                  <c:v>1.4156134881186409</c:v>
                </c:pt>
                <c:pt idx="7" formatCode="0.000">
                  <c:v>1.4215318004326616</c:v>
                </c:pt>
                <c:pt idx="8" formatCode="0.000">
                  <c:v>1.4277914093117721</c:v>
                </c:pt>
                <c:pt idx="10" formatCode="0.000">
                  <c:v>2.1074404590562694</c:v>
                </c:pt>
                <c:pt idx="11">
                  <c:v>2.1084300236814095</c:v>
                </c:pt>
                <c:pt idx="12">
                  <c:v>2.1094389467666179</c:v>
                </c:pt>
                <c:pt idx="13">
                  <c:v>2.1104677600520643</c:v>
                </c:pt>
                <c:pt idx="14">
                  <c:v>2.1115170135494608</c:v>
                </c:pt>
                <c:pt idx="15">
                  <c:v>2.1125872762759483</c:v>
                </c:pt>
              </c:numCache>
            </c:numRef>
          </c:yVal>
          <c:smooth val="1"/>
          <c:extLst>
            <c:ext xmlns:c16="http://schemas.microsoft.com/office/drawing/2014/chart" uri="{C3380CC4-5D6E-409C-BE32-E72D297353CC}">
              <c16:uniqueId val="{00000006-8FA4-4249-89CA-6C565918DC8F}"/>
            </c:ext>
          </c:extLst>
        </c:ser>
        <c:dLbls>
          <c:showLegendKey val="0"/>
          <c:showVal val="0"/>
          <c:showCatName val="0"/>
          <c:showSerName val="0"/>
          <c:showPercent val="0"/>
          <c:showBubbleSize val="0"/>
        </c:dLbls>
        <c:axId val="852829072"/>
        <c:axId val="852830512"/>
      </c:scatterChart>
      <c:valAx>
        <c:axId val="85282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lumMod val="65000"/>
                        <a:lumOff val="35000"/>
                      </a:sysClr>
                    </a:solidFill>
                  </a:rPr>
                  <a:t>X&lt;--+ve</a:t>
                </a:r>
                <a:endParaRPr lang="en-US" sz="1200" b="1" i="0" u="none" strike="noStrike" kern="1200" baseline="0">
                  <a:solidFill>
                    <a:sysClr val="windowText" lastClr="000000">
                      <a:lumMod val="65000"/>
                      <a:lumOff val="35000"/>
                    </a:sysClr>
                  </a:solidFill>
                </a:endParaRPr>
              </a:p>
            </c:rich>
          </c:tx>
          <c:layout>
            <c:manualLayout>
              <c:xMode val="edge"/>
              <c:yMode val="edge"/>
              <c:x val="0.47717711962155474"/>
              <c:y val="0.920137051619208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30512"/>
        <c:crosses val="autoZero"/>
        <c:crossBetween val="midCat"/>
      </c:valAx>
      <c:valAx>
        <c:axId val="85283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Elevation</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290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chart" Target="../charts/chart4.xml"/><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295275</xdr:colOff>
          <xdr:row>6</xdr:row>
          <xdr:rowOff>209550</xdr:rowOff>
        </xdr:from>
        <xdr:to>
          <xdr:col>19</xdr:col>
          <xdr:colOff>161925</xdr:colOff>
          <xdr:row>10</xdr:row>
          <xdr:rowOff>123825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18</xdr:col>
      <xdr:colOff>257175</xdr:colOff>
      <xdr:row>11</xdr:row>
      <xdr:rowOff>38099</xdr:rowOff>
    </xdr:from>
    <xdr:to>
      <xdr:col>21</xdr:col>
      <xdr:colOff>238125</xdr:colOff>
      <xdr:row>17</xdr:row>
      <xdr:rowOff>190499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953875" y="2428874"/>
          <a:ext cx="180975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100">
              <a:latin typeface="Book Antiqua" panose="02040602050305030304" pitchFamily="18" charset="0"/>
            </a:rPr>
            <a:t>Gate with opening of 0.36 ft located in a rectangular channel at x=100 ft, downstream depth specified as 0.65 ft at x=0</a:t>
          </a:r>
          <a:r>
            <a:rPr lang="en-US" sz="1100" baseline="0">
              <a:latin typeface="Book Antiqua" panose="02040602050305030304" pitchFamily="18" charset="0"/>
            </a:rPr>
            <a:t> ft (downstream boundary).</a:t>
          </a:r>
          <a:endParaRPr lang="en-US" sz="1100">
            <a:latin typeface="Book Antiqua" panose="02040602050305030304" pitchFamily="18" charset="0"/>
          </a:endParaRPr>
        </a:p>
      </xdr:txBody>
    </xdr:sp>
    <xdr:clientData/>
  </xdr:twoCellAnchor>
  <xdr:twoCellAnchor>
    <xdr:from>
      <xdr:col>0</xdr:col>
      <xdr:colOff>95250</xdr:colOff>
      <xdr:row>8</xdr:row>
      <xdr:rowOff>142875</xdr:rowOff>
    </xdr:from>
    <xdr:to>
      <xdr:col>14</xdr:col>
      <xdr:colOff>314325</xdr:colOff>
      <xdr:row>11</xdr:row>
      <xdr:rowOff>104775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95250" y="1905000"/>
          <a:ext cx="9324975"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This</a:t>
          </a:r>
          <a:r>
            <a:rPr lang="en-US" sz="1100" baseline="0">
              <a:latin typeface="Book Antiqua" panose="02040602050305030304" pitchFamily="18" charset="0"/>
            </a:rPr>
            <a:t> is a mild slope and so we start from the downstream control, in this case a specified downstream depth. We apply the standard step and compute a subcritical (M1) profile to the gate. Only part of this may be included in the final solution.</a:t>
          </a:r>
          <a:endParaRPr lang="en-US" sz="1100">
            <a:latin typeface="Book Antiqua" panose="02040602050305030304" pitchFamily="18" charset="0"/>
          </a:endParaRPr>
        </a:p>
      </xdr:txBody>
    </xdr:sp>
    <xdr:clientData/>
  </xdr:twoCellAnchor>
  <xdr:twoCellAnchor>
    <xdr:from>
      <xdr:col>0</xdr:col>
      <xdr:colOff>38100</xdr:colOff>
      <xdr:row>35</xdr:row>
      <xdr:rowOff>19051</xdr:rowOff>
    </xdr:from>
    <xdr:to>
      <xdr:col>17</xdr:col>
      <xdr:colOff>333375</xdr:colOff>
      <xdr:row>37</xdr:row>
      <xdr:rowOff>95251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8100" y="7696201"/>
          <a:ext cx="105060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Next we assume that the gate is a control (free flow) and so</a:t>
          </a:r>
          <a:r>
            <a:rPr lang="en-US" sz="1100" baseline="0">
              <a:latin typeface="Book Antiqua" panose="02040602050305030304" pitchFamily="18" charset="0"/>
            </a:rPr>
            <a:t> we compute a supercritical water surface profile starting from the gate and going downstream. We start at the contracted depth (either at the gate or at the vena contracta)</a:t>
          </a:r>
        </a:p>
      </xdr:txBody>
    </xdr:sp>
    <xdr:clientData/>
  </xdr:twoCellAnchor>
  <xdr:twoCellAnchor>
    <xdr:from>
      <xdr:col>0</xdr:col>
      <xdr:colOff>0</xdr:colOff>
      <xdr:row>51</xdr:row>
      <xdr:rowOff>9524</xdr:rowOff>
    </xdr:from>
    <xdr:to>
      <xdr:col>17</xdr:col>
      <xdr:colOff>571500</xdr:colOff>
      <xdr:row>53</xdr:row>
      <xdr:rowOff>114299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10877549"/>
          <a:ext cx="1165860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At</a:t>
          </a:r>
          <a:r>
            <a:rPr lang="en-US" sz="1100" baseline="0">
              <a:latin typeface="Book Antiqua" panose="02040602050305030304" pitchFamily="18" charset="0"/>
            </a:rPr>
            <a:t> the gate, the supercritical specific force is larger than the subcritical specific force, which indicates that the gate flow is indeed free. We proceed with our supercritical profile computation downstream to determine the location of the hydraulic jump which we find in the usual way</a:t>
          </a:r>
          <a:endParaRPr lang="en-US" sz="1100">
            <a:latin typeface="Book Antiqua" panose="02040602050305030304" pitchFamily="18" charset="0"/>
          </a:endParaRPr>
        </a:p>
      </xdr:txBody>
    </xdr:sp>
    <xdr:clientData/>
  </xdr:twoCellAnchor>
  <xdr:twoCellAnchor>
    <xdr:from>
      <xdr:col>0</xdr:col>
      <xdr:colOff>0</xdr:colOff>
      <xdr:row>58</xdr:row>
      <xdr:rowOff>28575</xdr:rowOff>
    </xdr:from>
    <xdr:to>
      <xdr:col>17</xdr:col>
      <xdr:colOff>600075</xdr:colOff>
      <xdr:row>60</xdr:row>
      <xdr:rowOff>76200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12363450"/>
          <a:ext cx="116871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After dealing with the flow downstream of the gate, we can now find the profile upstream of the gate. To determine</a:t>
          </a:r>
          <a:r>
            <a:rPr lang="en-US" sz="1100" baseline="0">
              <a:latin typeface="Book Antiqua" panose="02040602050305030304" pitchFamily="18" charset="0"/>
            </a:rPr>
            <a:t> the depth at the gate, we use the free-formula, knowing Q, to determine ygate, since the gate acts as a control. The profile upstream of the gate is then found by the usual standard standard step solution.</a:t>
          </a:r>
          <a:endParaRPr lang="en-US" sz="1100">
            <a:latin typeface="Book Antiqua" panose="02040602050305030304" pitchFamily="18" charset="0"/>
          </a:endParaRPr>
        </a:p>
      </xdr:txBody>
    </xdr:sp>
    <xdr:clientData/>
  </xdr:twoCellAnchor>
  <xdr:twoCellAnchor>
    <xdr:from>
      <xdr:col>3</xdr:col>
      <xdr:colOff>9526</xdr:colOff>
      <xdr:row>38</xdr:row>
      <xdr:rowOff>104774</xdr:rowOff>
    </xdr:from>
    <xdr:to>
      <xdr:col>4</xdr:col>
      <xdr:colOff>352425</xdr:colOff>
      <xdr:row>39</xdr:row>
      <xdr:rowOff>171449</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866901" y="8410574"/>
          <a:ext cx="962024"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y</a:t>
          </a:r>
          <a:r>
            <a:rPr lang="en-US" sz="1100" baseline="-25000">
              <a:latin typeface="Book Antiqua" panose="02040602050305030304" pitchFamily="18" charset="0"/>
            </a:rPr>
            <a:t>sgate</a:t>
          </a:r>
          <a:r>
            <a:rPr lang="en-US" sz="1100" baseline="0">
              <a:latin typeface="Book Antiqua" panose="02040602050305030304" pitchFamily="18" charset="0"/>
            </a:rPr>
            <a:t> = C</a:t>
          </a:r>
          <a:r>
            <a:rPr lang="en-US" sz="1100" baseline="-25000">
              <a:latin typeface="Book Antiqua" panose="02040602050305030304" pitchFamily="18" charset="0"/>
            </a:rPr>
            <a:t>c</a:t>
          </a:r>
          <a:r>
            <a:rPr lang="en-US" sz="1100" baseline="0">
              <a:latin typeface="Book Antiqua" panose="02040602050305030304" pitchFamily="18" charset="0"/>
            </a:rPr>
            <a:t> w</a:t>
          </a:r>
          <a:endParaRPr lang="en-US" sz="1100">
            <a:latin typeface="Book Antiqua" panose="02040602050305030304" pitchFamily="18" charset="0"/>
          </a:endParaRPr>
        </a:p>
      </xdr:txBody>
    </xdr:sp>
    <xdr:clientData/>
  </xdr:twoCellAnchor>
  <xdr:twoCellAnchor>
    <xdr:from>
      <xdr:col>2</xdr:col>
      <xdr:colOff>457200</xdr:colOff>
      <xdr:row>40</xdr:row>
      <xdr:rowOff>0</xdr:rowOff>
    </xdr:from>
    <xdr:to>
      <xdr:col>3</xdr:col>
      <xdr:colOff>28575</xdr:colOff>
      <xdr:row>42</xdr:row>
      <xdr:rowOff>85725</xdr:rowOff>
    </xdr:to>
    <xdr:cxnSp macro="">
      <xdr:nvCxnSpPr>
        <xdr:cNvPr id="8" name="Straight Arrow Connector 7">
          <a:extLst>
            <a:ext uri="{FF2B5EF4-FFF2-40B4-BE49-F238E27FC236}">
              <a16:creationId xmlns:a16="http://schemas.microsoft.com/office/drawing/2014/main" id="{00000000-0008-0000-0000-000008000000}"/>
            </a:ext>
          </a:extLst>
        </xdr:cNvPr>
        <xdr:cNvCxnSpPr/>
      </xdr:nvCxnSpPr>
      <xdr:spPr>
        <a:xfrm flipH="1">
          <a:off x="1695450" y="8724900"/>
          <a:ext cx="190500"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7</xdr:col>
          <xdr:colOff>619125</xdr:colOff>
          <xdr:row>65</xdr:row>
          <xdr:rowOff>209550</xdr:rowOff>
        </xdr:from>
        <xdr:to>
          <xdr:col>14</xdr:col>
          <xdr:colOff>400050</xdr:colOff>
          <xdr:row>67</xdr:row>
          <xdr:rowOff>200025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171450</xdr:colOff>
      <xdr:row>66</xdr:row>
      <xdr:rowOff>161925</xdr:rowOff>
    </xdr:from>
    <xdr:to>
      <xdr:col>8</xdr:col>
      <xdr:colOff>85725</xdr:colOff>
      <xdr:row>67</xdr:row>
      <xdr:rowOff>38100</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a:xfrm flipH="1">
          <a:off x="1409700" y="12287250"/>
          <a:ext cx="36290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523875</xdr:colOff>
      <xdr:row>50</xdr:row>
      <xdr:rowOff>14287</xdr:rowOff>
    </xdr:from>
    <xdr:to>
      <xdr:col>26</xdr:col>
      <xdr:colOff>219075</xdr:colOff>
      <xdr:row>63</xdr:row>
      <xdr:rowOff>33337</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295274</xdr:colOff>
      <xdr:row>31</xdr:row>
      <xdr:rowOff>100011</xdr:rowOff>
    </xdr:from>
    <xdr:to>
      <xdr:col>27</xdr:col>
      <xdr:colOff>161925</xdr:colOff>
      <xdr:row>48</xdr:row>
      <xdr:rowOff>133349</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314325</xdr:colOff>
      <xdr:row>108</xdr:row>
      <xdr:rowOff>123825</xdr:rowOff>
    </xdr:from>
    <xdr:to>
      <xdr:col>8</xdr:col>
      <xdr:colOff>467588</xdr:colOff>
      <xdr:row>134</xdr:row>
      <xdr:rowOff>67358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14325" y="22050375"/>
          <a:ext cx="6182588" cy="4896533"/>
        </a:xfrm>
        <a:prstGeom prst="rect">
          <a:avLst/>
        </a:prstGeom>
      </xdr:spPr>
    </xdr:pic>
    <xdr:clientData/>
  </xdr:twoCellAnchor>
  <xdr:twoCellAnchor editAs="oneCell">
    <xdr:from>
      <xdr:col>8</xdr:col>
      <xdr:colOff>533400</xdr:colOff>
      <xdr:row>108</xdr:row>
      <xdr:rowOff>142875</xdr:rowOff>
    </xdr:from>
    <xdr:to>
      <xdr:col>18</xdr:col>
      <xdr:colOff>191357</xdr:colOff>
      <xdr:row>134</xdr:row>
      <xdr:rowOff>671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6562725" y="22069425"/>
          <a:ext cx="6144482" cy="4810796"/>
        </a:xfrm>
        <a:prstGeom prst="rect">
          <a:avLst/>
        </a:prstGeom>
      </xdr:spPr>
    </xdr:pic>
    <xdr:clientData/>
  </xdr:twoCellAnchor>
  <xdr:twoCellAnchor>
    <xdr:from>
      <xdr:col>3</xdr:col>
      <xdr:colOff>219075</xdr:colOff>
      <xdr:row>23</xdr:row>
      <xdr:rowOff>9525</xdr:rowOff>
    </xdr:from>
    <xdr:to>
      <xdr:col>10</xdr:col>
      <xdr:colOff>561976</xdr:colOff>
      <xdr:row>41</xdr:row>
      <xdr:rowOff>128589</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342900</xdr:colOff>
      <xdr:row>117</xdr:row>
      <xdr:rowOff>123825</xdr:rowOff>
    </xdr:from>
    <xdr:to>
      <xdr:col>31</xdr:col>
      <xdr:colOff>304800</xdr:colOff>
      <xdr:row>142</xdr:row>
      <xdr:rowOff>38100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858750" y="23764875"/>
          <a:ext cx="7886700" cy="467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41413</xdr:colOff>
      <xdr:row>31</xdr:row>
      <xdr:rowOff>2012</xdr:rowOff>
    </xdr:from>
    <xdr:to>
      <xdr:col>25</xdr:col>
      <xdr:colOff>99391</xdr:colOff>
      <xdr:row>52</xdr:row>
      <xdr:rowOff>13667</xdr:rowOff>
    </xdr:to>
    <xdr:pic>
      <xdr:nvPicPr>
        <xdr:cNvPr id="8" name="Picture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2196" y="5907512"/>
          <a:ext cx="6800021" cy="4012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38582</xdr:colOff>
      <xdr:row>2</xdr:row>
      <xdr:rowOff>49695</xdr:rowOff>
    </xdr:from>
    <xdr:to>
      <xdr:col>25</xdr:col>
      <xdr:colOff>563217</xdr:colOff>
      <xdr:row>24</xdr:row>
      <xdr:rowOff>146187</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9365" y="430695"/>
          <a:ext cx="7266678" cy="4287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8283</xdr:colOff>
      <xdr:row>38</xdr:row>
      <xdr:rowOff>140804</xdr:rowOff>
    </xdr:from>
    <xdr:to>
      <xdr:col>7</xdr:col>
      <xdr:colOff>107674</xdr:colOff>
      <xdr:row>45</xdr:row>
      <xdr:rowOff>41413</xdr:rowOff>
    </xdr:to>
    <xdr:cxnSp macro="">
      <xdr:nvCxnSpPr>
        <xdr:cNvPr id="11" name="Straight Arrow Connector 10">
          <a:extLst>
            <a:ext uri="{FF2B5EF4-FFF2-40B4-BE49-F238E27FC236}">
              <a16:creationId xmlns:a16="http://schemas.microsoft.com/office/drawing/2014/main" id="{00000000-0008-0000-0200-00000B000000}"/>
            </a:ext>
          </a:extLst>
        </xdr:cNvPr>
        <xdr:cNvCxnSpPr/>
      </xdr:nvCxnSpPr>
      <xdr:spPr>
        <a:xfrm flipH="1">
          <a:off x="1234109" y="7379804"/>
          <a:ext cx="3163956" cy="1234109"/>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115957</xdr:colOff>
      <xdr:row>37</xdr:row>
      <xdr:rowOff>149086</xdr:rowOff>
    </xdr:from>
    <xdr:to>
      <xdr:col>11</xdr:col>
      <xdr:colOff>256761</xdr:colOff>
      <xdr:row>39</xdr:row>
      <xdr:rowOff>16565</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4406348" y="7197586"/>
          <a:ext cx="2592456" cy="248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Ineffective</a:t>
          </a:r>
          <a:r>
            <a:rPr lang="en-US" sz="1100" baseline="0"/>
            <a:t> flow area added at this section</a:t>
          </a:r>
          <a:endParaRPr lang="en-US" sz="1100"/>
        </a:p>
      </xdr:txBody>
    </xdr:sp>
    <xdr:clientData/>
  </xdr:twoCellAnchor>
  <xdr:twoCellAnchor>
    <xdr:from>
      <xdr:col>1</xdr:col>
      <xdr:colOff>591379</xdr:colOff>
      <xdr:row>8</xdr:row>
      <xdr:rowOff>152400</xdr:rowOff>
    </xdr:from>
    <xdr:to>
      <xdr:col>7</xdr:col>
      <xdr:colOff>77857</xdr:colOff>
      <xdr:row>15</xdr:row>
      <xdr:rowOff>53009</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flipH="1">
          <a:off x="1204292" y="1676400"/>
          <a:ext cx="3163956" cy="1234109"/>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107674</xdr:colOff>
      <xdr:row>7</xdr:row>
      <xdr:rowOff>173935</xdr:rowOff>
    </xdr:from>
    <xdr:to>
      <xdr:col>13</xdr:col>
      <xdr:colOff>190501</xdr:colOff>
      <xdr:row>9</xdr:row>
      <xdr:rowOff>33130</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4398065" y="1507435"/>
          <a:ext cx="3760306" cy="240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a:t>Without Ineffective</a:t>
          </a:r>
          <a:r>
            <a:rPr lang="en-US" sz="700" baseline="0"/>
            <a:t> flow area so created a section slightly far so that the flow regains its full width</a:t>
          </a:r>
          <a:endParaRPr lang="en-US" sz="7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295275</xdr:colOff>
          <xdr:row>6</xdr:row>
          <xdr:rowOff>209550</xdr:rowOff>
        </xdr:from>
        <xdr:to>
          <xdr:col>19</xdr:col>
          <xdr:colOff>295275</xdr:colOff>
          <xdr:row>10</xdr:row>
          <xdr:rowOff>123825</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18</xdr:col>
      <xdr:colOff>257175</xdr:colOff>
      <xdr:row>11</xdr:row>
      <xdr:rowOff>38099</xdr:rowOff>
    </xdr:from>
    <xdr:to>
      <xdr:col>21</xdr:col>
      <xdr:colOff>238125</xdr:colOff>
      <xdr:row>17</xdr:row>
      <xdr:rowOff>190499</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1953875" y="2428874"/>
          <a:ext cx="180975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100">
              <a:latin typeface="Book Antiqua" panose="02040602050305030304" pitchFamily="18" charset="0"/>
            </a:rPr>
            <a:t>Gate with opening of 0.36 ft located in a rectangular channel at x=100 ft, downstream depth specified as 0.65 ft at x=0</a:t>
          </a:r>
          <a:r>
            <a:rPr lang="en-US" sz="1100" baseline="0">
              <a:latin typeface="Book Antiqua" panose="02040602050305030304" pitchFamily="18" charset="0"/>
            </a:rPr>
            <a:t> ft (downstream boundary).</a:t>
          </a:r>
          <a:endParaRPr lang="en-US" sz="1100">
            <a:latin typeface="Book Antiqua" panose="02040602050305030304" pitchFamily="18" charset="0"/>
          </a:endParaRPr>
        </a:p>
      </xdr:txBody>
    </xdr:sp>
    <xdr:clientData/>
  </xdr:twoCellAnchor>
  <xdr:twoCellAnchor>
    <xdr:from>
      <xdr:col>0</xdr:col>
      <xdr:colOff>104775</xdr:colOff>
      <xdr:row>8</xdr:row>
      <xdr:rowOff>152400</xdr:rowOff>
    </xdr:from>
    <xdr:to>
      <xdr:col>14</xdr:col>
      <xdr:colOff>323850</xdr:colOff>
      <xdr:row>11</xdr:row>
      <xdr:rowOff>114300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04775" y="1914525"/>
          <a:ext cx="9382125"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This</a:t>
          </a:r>
          <a:r>
            <a:rPr lang="en-US" sz="1100" baseline="0">
              <a:latin typeface="Book Antiqua" panose="02040602050305030304" pitchFamily="18" charset="0"/>
            </a:rPr>
            <a:t> is a mild slope and so we start from the downstream control, in this case a specified downstream depth. We apply the standard step and compute a subcritical (M1) profile to the gate. Only part of this may be included in the final solution.</a:t>
          </a:r>
          <a:endParaRPr lang="en-US" sz="1100">
            <a:latin typeface="Book Antiqua" panose="02040602050305030304" pitchFamily="18" charset="0"/>
          </a:endParaRPr>
        </a:p>
      </xdr:txBody>
    </xdr:sp>
    <xdr:clientData/>
  </xdr:twoCellAnchor>
  <xdr:twoCellAnchor>
    <xdr:from>
      <xdr:col>0</xdr:col>
      <xdr:colOff>38100</xdr:colOff>
      <xdr:row>28</xdr:row>
      <xdr:rowOff>19051</xdr:rowOff>
    </xdr:from>
    <xdr:to>
      <xdr:col>17</xdr:col>
      <xdr:colOff>333375</xdr:colOff>
      <xdr:row>30</xdr:row>
      <xdr:rowOff>95251</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8100" y="7486651"/>
          <a:ext cx="113823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Next we assume that the gate is a control (free flow) and so</a:t>
          </a:r>
          <a:r>
            <a:rPr lang="en-US" sz="1100" baseline="0">
              <a:latin typeface="Book Antiqua" panose="02040602050305030304" pitchFamily="18" charset="0"/>
            </a:rPr>
            <a:t> we compute a supercritical water surface profile starting from the gate and going downstream. We start at the contracted depth (either at the gate or at the vena contracta)</a:t>
          </a:r>
        </a:p>
      </xdr:txBody>
    </xdr:sp>
    <xdr:clientData/>
  </xdr:twoCellAnchor>
  <xdr:twoCellAnchor>
    <xdr:from>
      <xdr:col>3</xdr:col>
      <xdr:colOff>9526</xdr:colOff>
      <xdr:row>31</xdr:row>
      <xdr:rowOff>104774</xdr:rowOff>
    </xdr:from>
    <xdr:to>
      <xdr:col>4</xdr:col>
      <xdr:colOff>352425</xdr:colOff>
      <xdr:row>32</xdr:row>
      <xdr:rowOff>171449</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943101" y="8201024"/>
          <a:ext cx="952499"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ook Antiqua" panose="02040602050305030304" pitchFamily="18" charset="0"/>
            </a:rPr>
            <a:t>y</a:t>
          </a:r>
          <a:r>
            <a:rPr lang="en-US" sz="1100" baseline="-25000">
              <a:latin typeface="Book Antiqua" panose="02040602050305030304" pitchFamily="18" charset="0"/>
            </a:rPr>
            <a:t>sgate</a:t>
          </a:r>
          <a:r>
            <a:rPr lang="en-US" sz="1100" baseline="0">
              <a:latin typeface="Book Antiqua" panose="02040602050305030304" pitchFamily="18" charset="0"/>
            </a:rPr>
            <a:t> = C</a:t>
          </a:r>
          <a:r>
            <a:rPr lang="en-US" sz="1100" baseline="-25000">
              <a:latin typeface="Book Antiqua" panose="02040602050305030304" pitchFamily="18" charset="0"/>
            </a:rPr>
            <a:t>c</a:t>
          </a:r>
          <a:r>
            <a:rPr lang="en-US" sz="1100" baseline="0">
              <a:latin typeface="Book Antiqua" panose="02040602050305030304" pitchFamily="18" charset="0"/>
            </a:rPr>
            <a:t> w</a:t>
          </a:r>
          <a:endParaRPr lang="en-US" sz="1100">
            <a:latin typeface="Book Antiqua" panose="02040602050305030304" pitchFamily="18" charset="0"/>
          </a:endParaRPr>
        </a:p>
      </xdr:txBody>
    </xdr:sp>
    <xdr:clientData/>
  </xdr:twoCellAnchor>
  <xdr:twoCellAnchor>
    <xdr:from>
      <xdr:col>2</xdr:col>
      <xdr:colOff>457200</xdr:colOff>
      <xdr:row>33</xdr:row>
      <xdr:rowOff>0</xdr:rowOff>
    </xdr:from>
    <xdr:to>
      <xdr:col>3</xdr:col>
      <xdr:colOff>28575</xdr:colOff>
      <xdr:row>35</xdr:row>
      <xdr:rowOff>85725</xdr:rowOff>
    </xdr:to>
    <xdr:cxnSp macro="">
      <xdr:nvCxnSpPr>
        <xdr:cNvPr id="8" name="Straight Arrow Connector 7">
          <a:extLst>
            <a:ext uri="{FF2B5EF4-FFF2-40B4-BE49-F238E27FC236}">
              <a16:creationId xmlns:a16="http://schemas.microsoft.com/office/drawing/2014/main" id="{00000000-0008-0000-0300-000008000000}"/>
            </a:ext>
          </a:extLst>
        </xdr:cNvPr>
        <xdr:cNvCxnSpPr/>
      </xdr:nvCxnSpPr>
      <xdr:spPr>
        <a:xfrm flipH="1">
          <a:off x="1781175" y="8515350"/>
          <a:ext cx="18097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200025</xdr:colOff>
      <xdr:row>35</xdr:row>
      <xdr:rowOff>95250</xdr:rowOff>
    </xdr:from>
    <xdr:to>
      <xdr:col>18</xdr:col>
      <xdr:colOff>333375</xdr:colOff>
      <xdr:row>35</xdr:row>
      <xdr:rowOff>114300</xdr:rowOff>
    </xdr:to>
    <xdr:cxnSp macro="">
      <xdr:nvCxnSpPr>
        <xdr:cNvPr id="13" name="Straight Arrow Connector 12">
          <a:extLst>
            <a:ext uri="{FF2B5EF4-FFF2-40B4-BE49-F238E27FC236}">
              <a16:creationId xmlns:a16="http://schemas.microsoft.com/office/drawing/2014/main" id="{00000000-0008-0000-0300-00000D000000}"/>
            </a:ext>
          </a:extLst>
        </xdr:cNvPr>
        <xdr:cNvCxnSpPr/>
      </xdr:nvCxnSpPr>
      <xdr:spPr>
        <a:xfrm>
          <a:off x="200025" y="9077325"/>
          <a:ext cx="11430000" cy="1905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371475</xdr:colOff>
      <xdr:row>34</xdr:row>
      <xdr:rowOff>57150</xdr:rowOff>
    </xdr:from>
    <xdr:to>
      <xdr:col>21</xdr:col>
      <xdr:colOff>190500</xdr:colOff>
      <xdr:row>36</xdr:row>
      <xdr:rowOff>133350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1668125" y="8810625"/>
          <a:ext cx="1647825"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 supercritical flow as no Jump is possible here.</a:t>
          </a:r>
        </a:p>
        <a:p>
          <a:endParaRPr lang="en-US" sz="1100"/>
        </a:p>
      </xdr:txBody>
    </xdr:sp>
    <xdr:clientData/>
  </xdr:twoCellAnchor>
  <xdr:twoCellAnchor>
    <xdr:from>
      <xdr:col>0</xdr:col>
      <xdr:colOff>495299</xdr:colOff>
      <xdr:row>37</xdr:row>
      <xdr:rowOff>42860</xdr:rowOff>
    </xdr:from>
    <xdr:to>
      <xdr:col>11</xdr:col>
      <xdr:colOff>123825</xdr:colOff>
      <xdr:row>57</xdr:row>
      <xdr:rowOff>19049</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504826</xdr:colOff>
      <xdr:row>60</xdr:row>
      <xdr:rowOff>38100</xdr:rowOff>
    </xdr:from>
    <xdr:to>
      <xdr:col>7</xdr:col>
      <xdr:colOff>838200</xdr:colOff>
      <xdr:row>66</xdr:row>
      <xdr:rowOff>133350</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2"/>
        <a:stretch>
          <a:fillRect/>
        </a:stretch>
      </xdr:blipFill>
      <xdr:spPr>
        <a:xfrm>
          <a:off x="504826" y="12792075"/>
          <a:ext cx="4600574" cy="1352550"/>
        </a:xfrm>
        <a:prstGeom prst="rect">
          <a:avLst/>
        </a:prstGeom>
      </xdr:spPr>
    </xdr:pic>
    <xdr:clientData/>
  </xdr:twoCellAnchor>
  <xdr:twoCellAnchor>
    <xdr:from>
      <xdr:col>2</xdr:col>
      <xdr:colOff>581025</xdr:colOff>
      <xdr:row>63</xdr:row>
      <xdr:rowOff>114300</xdr:rowOff>
    </xdr:from>
    <xdr:to>
      <xdr:col>11</xdr:col>
      <xdr:colOff>66675</xdr:colOff>
      <xdr:row>72</xdr:row>
      <xdr:rowOff>57150</xdr:rowOff>
    </xdr:to>
    <xdr:cxnSp macro="">
      <xdr:nvCxnSpPr>
        <xdr:cNvPr id="18" name="Straight Arrow Connector 17">
          <a:extLst>
            <a:ext uri="{FF2B5EF4-FFF2-40B4-BE49-F238E27FC236}">
              <a16:creationId xmlns:a16="http://schemas.microsoft.com/office/drawing/2014/main" id="{00000000-0008-0000-0300-000012000000}"/>
            </a:ext>
          </a:extLst>
        </xdr:cNvPr>
        <xdr:cNvCxnSpPr/>
      </xdr:nvCxnSpPr>
      <xdr:spPr>
        <a:xfrm flipH="1">
          <a:off x="1800225" y="13496925"/>
          <a:ext cx="4972050" cy="1876425"/>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95250</xdr:colOff>
      <xdr:row>61</xdr:row>
      <xdr:rowOff>171450</xdr:rowOff>
    </xdr:from>
    <xdr:to>
      <xdr:col>12</xdr:col>
      <xdr:colOff>38100</xdr:colOff>
      <xdr:row>64</xdr:row>
      <xdr:rowOff>49212</xdr:rowOff>
    </xdr:to>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3"/>
        <a:stretch>
          <a:fillRect/>
        </a:stretch>
      </xdr:blipFill>
      <xdr:spPr>
        <a:xfrm>
          <a:off x="6800850" y="13134975"/>
          <a:ext cx="552450" cy="506412"/>
        </a:xfrm>
        <a:prstGeom prst="rect">
          <a:avLst/>
        </a:prstGeom>
      </xdr:spPr>
    </xdr:pic>
    <xdr:clientData/>
  </xdr:twoCellAnchor>
  <xdr:twoCellAnchor editAs="oneCell">
    <xdr:from>
      <xdr:col>12</xdr:col>
      <xdr:colOff>304800</xdr:colOff>
      <xdr:row>62</xdr:row>
      <xdr:rowOff>152400</xdr:rowOff>
    </xdr:from>
    <xdr:to>
      <xdr:col>19</xdr:col>
      <xdr:colOff>343546</xdr:colOff>
      <xdr:row>67</xdr:row>
      <xdr:rowOff>66809</xdr:rowOff>
    </xdr:to>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4"/>
        <a:stretch>
          <a:fillRect/>
        </a:stretch>
      </xdr:blipFill>
      <xdr:spPr>
        <a:xfrm>
          <a:off x="7620000" y="13325475"/>
          <a:ext cx="4629796" cy="9621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2.vml"/><Relationship Id="rId1" Type="http://schemas.openxmlformats.org/officeDocument/2006/relationships/drawing" Target="../drawings/drawing4.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8"/>
  <sheetViews>
    <sheetView topLeftCell="A62" workbookViewId="0">
      <selection activeCell="E17" sqref="E17"/>
    </sheetView>
  </sheetViews>
  <sheetFormatPr defaultRowHeight="15" x14ac:dyDescent="0.25"/>
  <cols>
    <col min="2" max="2" width="10.7109375" bestFit="1" customWidth="1"/>
    <col min="8" max="8" width="11.140625" bestFit="1" customWidth="1"/>
    <col min="10" max="10" width="11" customWidth="1"/>
    <col min="13" max="13" width="12.28515625" bestFit="1" customWidth="1"/>
    <col min="15" max="15" width="9.42578125" customWidth="1"/>
    <col min="17" max="17" width="11.140625" bestFit="1" customWidth="1"/>
  </cols>
  <sheetData>
    <row r="1" spans="1:28" ht="16.5" x14ac:dyDescent="0.3">
      <c r="A1" s="1" t="s">
        <v>46</v>
      </c>
      <c r="B1" s="1"/>
      <c r="C1" s="1"/>
      <c r="D1" s="1"/>
      <c r="E1" s="1" t="s">
        <v>45</v>
      </c>
      <c r="F1" s="1"/>
      <c r="G1" s="1"/>
      <c r="H1" s="1"/>
      <c r="I1" s="1"/>
      <c r="J1" s="1" t="s">
        <v>47</v>
      </c>
      <c r="K1" s="1"/>
      <c r="L1" s="1"/>
      <c r="N1" s="1" t="s">
        <v>48</v>
      </c>
      <c r="O1" s="1"/>
      <c r="P1" s="1"/>
      <c r="Q1" s="1"/>
      <c r="R1" s="1"/>
      <c r="S1" s="1"/>
      <c r="T1" s="1"/>
      <c r="U1" s="1"/>
      <c r="V1" s="1"/>
      <c r="W1" s="1"/>
      <c r="X1" s="1"/>
    </row>
    <row r="2" spans="1:28" ht="16.5" x14ac:dyDescent="0.3">
      <c r="A2" s="1" t="s">
        <v>1</v>
      </c>
      <c r="B2" s="1">
        <v>2.4</v>
      </c>
      <c r="C2" s="1" t="s">
        <v>0</v>
      </c>
      <c r="D2" s="1"/>
      <c r="E2" s="1" t="s">
        <v>3</v>
      </c>
      <c r="F2" s="2">
        <f>((B5/B2)^2/F7)^(1/3)</f>
        <v>0.46713635126797376</v>
      </c>
      <c r="G2" s="1" t="s">
        <v>0</v>
      </c>
      <c r="H2" s="1" t="s">
        <v>4</v>
      </c>
      <c r="I2" s="1"/>
      <c r="J2" s="1" t="s">
        <v>1</v>
      </c>
      <c r="K2" s="1">
        <v>4</v>
      </c>
      <c r="L2" s="1" t="s">
        <v>0</v>
      </c>
      <c r="N2" s="1" t="s">
        <v>3</v>
      </c>
      <c r="O2" s="2">
        <f>((K5/K2)^2/O7)^(1/3)</f>
        <v>0.33231083202179479</v>
      </c>
      <c r="P2" s="1" t="s">
        <v>0</v>
      </c>
      <c r="Q2" s="1" t="s">
        <v>4</v>
      </c>
      <c r="R2" s="1"/>
      <c r="S2" s="1"/>
      <c r="T2" s="1"/>
      <c r="U2" s="1"/>
      <c r="V2" s="1"/>
      <c r="W2" s="1"/>
      <c r="X2" s="1"/>
    </row>
    <row r="3" spans="1:28" ht="18" x14ac:dyDescent="0.35">
      <c r="A3" s="1" t="s">
        <v>5</v>
      </c>
      <c r="B3" s="1">
        <v>1.5E-3</v>
      </c>
      <c r="C3" s="1"/>
      <c r="D3" s="1"/>
      <c r="E3" s="1" t="s">
        <v>6</v>
      </c>
      <c r="F3" s="2">
        <v>0.67702472853137119</v>
      </c>
      <c r="G3" s="1" t="s">
        <v>0</v>
      </c>
      <c r="H3" s="1" t="s">
        <v>7</v>
      </c>
      <c r="I3" s="1" t="s">
        <v>8</v>
      </c>
      <c r="J3" s="1" t="s">
        <v>5</v>
      </c>
      <c r="K3" s="1">
        <v>1.5E-3</v>
      </c>
      <c r="L3" s="1"/>
      <c r="N3" s="1" t="s">
        <v>6</v>
      </c>
      <c r="O3" s="2">
        <v>0.45197290042911753</v>
      </c>
      <c r="P3" s="1" t="s">
        <v>0</v>
      </c>
      <c r="Q3" s="1" t="s">
        <v>7</v>
      </c>
      <c r="R3" s="1" t="s">
        <v>8</v>
      </c>
      <c r="S3" s="1"/>
      <c r="T3" s="1"/>
      <c r="U3" s="1"/>
      <c r="V3" s="1"/>
      <c r="W3" s="1"/>
      <c r="X3" s="1"/>
    </row>
    <row r="4" spans="1:28" ht="18" x14ac:dyDescent="0.35">
      <c r="A4" s="1" t="s">
        <v>9</v>
      </c>
      <c r="B4" s="1">
        <v>1.4999999999999999E-2</v>
      </c>
      <c r="C4" s="1"/>
      <c r="D4" s="1"/>
      <c r="E4" s="1" t="s">
        <v>10</v>
      </c>
      <c r="F4" s="5">
        <f>(F8/B4)*(B2*F3)*((B2*F3)/(B2+2*F3))^(2/3)*B3^(1/2)</f>
        <v>2.4005679282845098</v>
      </c>
      <c r="G4" s="1" t="s">
        <v>40</v>
      </c>
      <c r="H4" s="1" t="s">
        <v>12</v>
      </c>
      <c r="I4" s="1" t="s">
        <v>13</v>
      </c>
      <c r="J4" s="1" t="s">
        <v>9</v>
      </c>
      <c r="K4" s="1">
        <v>1.4999999999999999E-2</v>
      </c>
      <c r="L4" s="1"/>
      <c r="N4" s="1" t="s">
        <v>10</v>
      </c>
      <c r="O4" s="5">
        <f>(O8/K4)*(K2*O3)*((K2*O3)/(K2+2*O3))^(2/3)*K3^(1/2)</f>
        <v>2.3999999992199483</v>
      </c>
      <c r="P4" s="1" t="s">
        <v>40</v>
      </c>
      <c r="Q4" s="1" t="s">
        <v>12</v>
      </c>
      <c r="R4" s="1" t="s">
        <v>13</v>
      </c>
      <c r="S4" s="1"/>
      <c r="T4" s="1"/>
      <c r="U4" s="1"/>
      <c r="V4" s="1"/>
      <c r="W4" s="1"/>
      <c r="X4" s="1"/>
    </row>
    <row r="5" spans="1:28" ht="16.5" x14ac:dyDescent="0.3">
      <c r="A5" s="1" t="s">
        <v>14</v>
      </c>
      <c r="B5" s="1">
        <v>2.4</v>
      </c>
      <c r="C5" s="1" t="s">
        <v>40</v>
      </c>
      <c r="D5" s="1"/>
      <c r="E5" s="1"/>
      <c r="F5" s="1"/>
      <c r="G5" s="1"/>
      <c r="H5" s="1"/>
      <c r="I5" s="1"/>
      <c r="J5" s="1" t="s">
        <v>14</v>
      </c>
      <c r="K5" s="1">
        <v>2.4</v>
      </c>
      <c r="L5" s="1" t="s">
        <v>40</v>
      </c>
      <c r="N5" s="1"/>
      <c r="O5" s="1"/>
      <c r="P5" s="1"/>
      <c r="Q5" s="1"/>
      <c r="R5" s="1"/>
      <c r="S5" s="1"/>
      <c r="T5" s="1"/>
      <c r="U5" s="1"/>
      <c r="V5" s="1"/>
      <c r="W5" s="1"/>
      <c r="X5" s="1"/>
    </row>
    <row r="6" spans="1:28" ht="16.5" x14ac:dyDescent="0.3">
      <c r="A6" s="1" t="s">
        <v>15</v>
      </c>
      <c r="B6" s="1">
        <v>0.36</v>
      </c>
      <c r="C6" s="1" t="s">
        <v>0</v>
      </c>
      <c r="D6" s="1"/>
      <c r="E6" s="1" t="s">
        <v>16</v>
      </c>
      <c r="F6" s="1"/>
      <c r="G6" s="1"/>
      <c r="H6" s="1"/>
      <c r="I6" s="1"/>
      <c r="J6" s="1"/>
      <c r="K6" s="1"/>
      <c r="L6" s="1"/>
      <c r="N6" s="1" t="s">
        <v>16</v>
      </c>
      <c r="O6" s="1"/>
      <c r="P6" s="1"/>
      <c r="Q6" s="1"/>
      <c r="R6" s="1"/>
      <c r="S6" s="1"/>
      <c r="T6" s="1"/>
      <c r="U6" s="1"/>
      <c r="V6" s="1"/>
      <c r="W6" s="1"/>
      <c r="X6" s="1"/>
    </row>
    <row r="7" spans="1:28" ht="18.75" x14ac:dyDescent="0.35">
      <c r="A7" s="1" t="s">
        <v>17</v>
      </c>
      <c r="B7" s="1">
        <v>0.6</v>
      </c>
      <c r="C7" s="1"/>
      <c r="D7" s="1"/>
      <c r="E7" s="1" t="s">
        <v>18</v>
      </c>
      <c r="F7" s="1">
        <v>9.81</v>
      </c>
      <c r="G7" s="1" t="s">
        <v>39</v>
      </c>
      <c r="H7" s="1"/>
      <c r="I7" s="1"/>
      <c r="J7" s="1"/>
      <c r="K7" s="1"/>
      <c r="L7" s="1"/>
      <c r="N7" s="1" t="s">
        <v>18</v>
      </c>
      <c r="O7" s="1">
        <v>9.81</v>
      </c>
      <c r="P7" s="1" t="s">
        <v>39</v>
      </c>
      <c r="Q7" s="1"/>
      <c r="R7" s="1"/>
      <c r="S7" s="1"/>
      <c r="T7" s="1"/>
      <c r="U7" s="1"/>
      <c r="V7" s="1"/>
      <c r="W7" s="1"/>
      <c r="X7" s="1"/>
    </row>
    <row r="8" spans="1:28" ht="18" x14ac:dyDescent="0.35">
      <c r="A8" s="1"/>
      <c r="B8" s="1"/>
      <c r="C8" s="1"/>
      <c r="D8" s="1"/>
      <c r="E8" s="1" t="s">
        <v>19</v>
      </c>
      <c r="F8" s="1">
        <v>1</v>
      </c>
      <c r="G8" s="1"/>
      <c r="H8" s="1"/>
      <c r="I8" s="1"/>
      <c r="J8" s="1"/>
      <c r="K8" s="1"/>
      <c r="N8" s="1" t="s">
        <v>19</v>
      </c>
      <c r="O8" s="1">
        <v>1</v>
      </c>
      <c r="P8" s="1"/>
      <c r="Q8" s="1"/>
      <c r="R8" s="1"/>
      <c r="S8" s="1"/>
      <c r="T8" s="1"/>
      <c r="U8" s="1"/>
      <c r="V8" s="1"/>
      <c r="W8" s="1"/>
      <c r="X8" s="1"/>
    </row>
    <row r="9" spans="1:28" ht="16.5" x14ac:dyDescent="0.3">
      <c r="A9" s="1"/>
      <c r="B9" s="1"/>
      <c r="C9" s="1"/>
      <c r="D9" s="1"/>
      <c r="E9" s="1"/>
      <c r="F9" s="1"/>
      <c r="G9" s="1"/>
      <c r="H9" s="1"/>
      <c r="I9" s="1"/>
      <c r="J9" s="1"/>
      <c r="K9" s="1"/>
      <c r="L9" s="1"/>
      <c r="M9" s="1"/>
      <c r="N9" s="1"/>
      <c r="O9" s="1"/>
      <c r="P9" s="1"/>
      <c r="Q9" s="1"/>
      <c r="R9" s="1"/>
      <c r="S9" s="1"/>
      <c r="T9" s="1"/>
      <c r="U9" s="1"/>
      <c r="V9" s="1"/>
      <c r="W9" s="1"/>
      <c r="X9" s="1"/>
    </row>
    <row r="10" spans="1:28" ht="16.5" x14ac:dyDescent="0.3">
      <c r="A10" s="1"/>
      <c r="B10" s="1"/>
      <c r="C10" s="1"/>
      <c r="D10" s="1"/>
      <c r="E10" s="1"/>
      <c r="F10" s="1"/>
      <c r="G10" s="1"/>
      <c r="H10" s="1"/>
      <c r="I10" s="1"/>
      <c r="J10" s="1"/>
      <c r="K10" s="1"/>
      <c r="L10" s="1"/>
      <c r="M10" s="1"/>
      <c r="N10" s="1"/>
      <c r="O10" s="1"/>
      <c r="P10" s="1"/>
      <c r="Q10" s="1"/>
      <c r="R10" s="1"/>
      <c r="S10" s="1"/>
      <c r="T10" s="1"/>
      <c r="U10" s="1"/>
      <c r="V10" s="1"/>
      <c r="W10" s="1"/>
      <c r="X10" s="1"/>
    </row>
    <row r="11" spans="1:28" ht="16.5" x14ac:dyDescent="0.3">
      <c r="A11" s="1"/>
      <c r="B11" s="1"/>
      <c r="C11" s="1"/>
      <c r="D11" s="1"/>
      <c r="E11" s="1"/>
      <c r="F11" s="1"/>
      <c r="G11" s="1"/>
      <c r="H11" s="1"/>
      <c r="I11" s="1"/>
      <c r="J11" s="1"/>
      <c r="K11" s="1"/>
      <c r="L11" s="1"/>
      <c r="M11" s="1"/>
      <c r="N11" s="1"/>
      <c r="O11" s="1"/>
      <c r="P11" s="1"/>
      <c r="Q11" s="1"/>
      <c r="R11" s="1"/>
      <c r="S11" s="1"/>
      <c r="T11" s="1"/>
      <c r="U11" s="1"/>
      <c r="V11" s="1"/>
      <c r="W11" s="1"/>
      <c r="X11" s="1"/>
    </row>
    <row r="12" spans="1:28" ht="16.5" x14ac:dyDescent="0.3">
      <c r="A12" s="1"/>
      <c r="B12" s="1"/>
      <c r="C12" s="1"/>
      <c r="D12" s="1"/>
      <c r="E12" s="1"/>
      <c r="F12" s="1"/>
      <c r="G12" s="1"/>
      <c r="H12" s="1"/>
      <c r="I12" s="1"/>
      <c r="J12" s="1"/>
      <c r="K12" s="1"/>
      <c r="L12" s="1"/>
      <c r="M12" s="1"/>
      <c r="N12" s="1"/>
      <c r="O12" s="1"/>
      <c r="P12" s="1"/>
      <c r="Q12" s="1"/>
      <c r="R12" s="1"/>
      <c r="S12" s="1"/>
      <c r="T12" s="1"/>
      <c r="U12" s="1"/>
      <c r="V12" s="1"/>
      <c r="W12" s="1"/>
      <c r="X12" s="1"/>
    </row>
    <row r="13" spans="1:28" ht="18.75" x14ac:dyDescent="0.35">
      <c r="A13" s="1" t="s">
        <v>20</v>
      </c>
      <c r="B13" s="1" t="s">
        <v>21</v>
      </c>
      <c r="C13" s="1" t="s">
        <v>22</v>
      </c>
      <c r="D13" s="1" t="s">
        <v>23</v>
      </c>
      <c r="E13" s="1" t="s">
        <v>24</v>
      </c>
      <c r="F13" s="1" t="s">
        <v>25</v>
      </c>
      <c r="G13" s="1" t="s">
        <v>26</v>
      </c>
      <c r="H13" s="1" t="s">
        <v>27</v>
      </c>
      <c r="I13" s="1" t="s">
        <v>28</v>
      </c>
      <c r="J13" s="1" t="s">
        <v>29</v>
      </c>
      <c r="K13" s="1" t="s">
        <v>30</v>
      </c>
      <c r="L13" s="1" t="s">
        <v>31</v>
      </c>
      <c r="M13" s="1" t="s">
        <v>32</v>
      </c>
      <c r="N13" s="1" t="s">
        <v>33</v>
      </c>
      <c r="O13" s="1" t="s">
        <v>34</v>
      </c>
      <c r="P13" s="1" t="s">
        <v>35</v>
      </c>
      <c r="Q13" s="1" t="s">
        <v>36</v>
      </c>
      <c r="R13" s="1" t="s">
        <v>37</v>
      </c>
      <c r="W13" s="1" t="str">
        <f>A13</f>
        <v>x</v>
      </c>
      <c r="X13" s="1" t="str">
        <f>B13</f>
        <v>z</v>
      </c>
      <c r="Y13" s="1" t="str">
        <f t="shared" ref="Y13:AA14" si="0">P13</f>
        <v>Z</v>
      </c>
      <c r="Z13" s="1" t="str">
        <f t="shared" si="0"/>
        <v>Zc</v>
      </c>
      <c r="AA13" s="1" t="str">
        <f t="shared" si="0"/>
        <v>Zn</v>
      </c>
      <c r="AB13" s="1" t="str">
        <f>J13</f>
        <v>H</v>
      </c>
    </row>
    <row r="14" spans="1:28" ht="18" x14ac:dyDescent="0.3">
      <c r="A14" s="1" t="s">
        <v>0</v>
      </c>
      <c r="B14" s="1" t="s">
        <v>0</v>
      </c>
      <c r="C14" s="1" t="s">
        <v>0</v>
      </c>
      <c r="D14" s="1" t="s">
        <v>44</v>
      </c>
      <c r="E14" s="1" t="s">
        <v>0</v>
      </c>
      <c r="F14" s="1" t="s">
        <v>43</v>
      </c>
      <c r="G14" s="1" t="s">
        <v>0</v>
      </c>
      <c r="H14" s="1" t="s">
        <v>0</v>
      </c>
      <c r="I14" s="1" t="s">
        <v>42</v>
      </c>
      <c r="J14" s="1" t="s">
        <v>0</v>
      </c>
      <c r="K14" s="1"/>
      <c r="L14" s="1" t="s">
        <v>0</v>
      </c>
      <c r="M14" s="1" t="s">
        <v>0</v>
      </c>
      <c r="N14" s="1"/>
      <c r="O14" s="1" t="s">
        <v>41</v>
      </c>
      <c r="P14" s="1" t="s">
        <v>0</v>
      </c>
      <c r="Q14" s="1" t="s">
        <v>0</v>
      </c>
      <c r="R14" s="1" t="s">
        <v>0</v>
      </c>
      <c r="W14" s="1" t="str">
        <f>A14</f>
        <v>m</v>
      </c>
      <c r="X14" s="1" t="str">
        <f>B14</f>
        <v>m</v>
      </c>
      <c r="Y14" s="1" t="str">
        <f t="shared" si="0"/>
        <v>m</v>
      </c>
      <c r="Z14" s="1" t="str">
        <f t="shared" si="0"/>
        <v>m</v>
      </c>
      <c r="AA14" s="1" t="str">
        <f t="shared" si="0"/>
        <v>m</v>
      </c>
      <c r="AB14" s="1" t="str">
        <f>J14</f>
        <v>m</v>
      </c>
    </row>
    <row r="15" spans="1:28" ht="16.5" x14ac:dyDescent="0.3">
      <c r="A15" s="1">
        <v>0</v>
      </c>
      <c r="B15" s="1">
        <f>A15*$B$3</f>
        <v>0</v>
      </c>
      <c r="C15" s="1">
        <v>0.65</v>
      </c>
      <c r="D15" s="1">
        <f>IF(A15&gt;=100, $B$2*C15, $K$2*C15)</f>
        <v>2.6</v>
      </c>
      <c r="E15" s="1">
        <f>IF(A15&gt;=100, $B$2+2*C15, $K$2+2*C15)</f>
        <v>5.3</v>
      </c>
      <c r="F15" s="1">
        <f>$B$5/D15</f>
        <v>0.92307692307692302</v>
      </c>
      <c r="G15" s="1">
        <f>(F15)^2/(2*$F$7)</f>
        <v>4.3428695510558592E-2</v>
      </c>
      <c r="H15" s="1">
        <f>D15/E15</f>
        <v>0.49056603773584911</v>
      </c>
      <c r="I15" s="1">
        <f>($F$8/$B$4)*D15*H15^(2/3)</f>
        <v>107.81530301710407</v>
      </c>
      <c r="J15" s="1">
        <f>B15+C15+G15</f>
        <v>0.69342869551055863</v>
      </c>
      <c r="K15" s="1"/>
      <c r="L15" s="1"/>
      <c r="M15" s="1"/>
      <c r="N15" s="2">
        <f>($B$5^2/($F$7*(D15^3/$B$2)))</f>
        <v>8.0176053250262003E-2</v>
      </c>
      <c r="O15" s="2">
        <f>IF(A15&gt;=100,$B$2*C15^2/2+$B$5^2/($F$7*D15),$K$2*C15^2/2+$B$5^2/($F$7*D15))</f>
        <v>1.0708292166549047</v>
      </c>
      <c r="P15" s="2">
        <f>C15+B15</f>
        <v>0.65</v>
      </c>
      <c r="Q15" s="2">
        <f>$F$4+B15</f>
        <v>2.4005679282845098</v>
      </c>
      <c r="R15" s="2">
        <f>$F$5+B15</f>
        <v>0</v>
      </c>
      <c r="W15" s="1">
        <v>0</v>
      </c>
      <c r="X15" s="1">
        <f>W15*$B$3</f>
        <v>0</v>
      </c>
      <c r="Y15" s="2">
        <v>0.65</v>
      </c>
      <c r="Z15" s="2">
        <f>X15+$O$2</f>
        <v>0.33231083202179479</v>
      </c>
      <c r="AA15" s="2">
        <f>X15+$O$3</f>
        <v>0.45197290042911753</v>
      </c>
      <c r="AB15" s="1">
        <v>0.69342869551055863</v>
      </c>
    </row>
    <row r="16" spans="1:28" ht="16.5" x14ac:dyDescent="0.3">
      <c r="A16" s="1">
        <v>20</v>
      </c>
      <c r="B16" s="1">
        <f t="shared" ref="B16:B24" si="1">A16*$B$3</f>
        <v>0.03</v>
      </c>
      <c r="C16" s="7">
        <v>0.62724030629741612</v>
      </c>
      <c r="D16" s="1">
        <f t="shared" ref="D16:D24" si="2">IF(A16&gt;=100, $B$2*C16, $K$2*C16)</f>
        <v>2.5089612251896645</v>
      </c>
      <c r="E16" s="1">
        <f t="shared" ref="E16:E24" si="3">IF(A16&gt;=100, $B$2+2*C16, $K$2+2*C16)</f>
        <v>5.2544806125948327</v>
      </c>
      <c r="F16" s="1">
        <f t="shared" ref="F16:F24" si="4">$B$5/D16</f>
        <v>0.95657118009807918</v>
      </c>
      <c r="G16" s="1">
        <f t="shared" ref="G16:G24" si="5">(F16)^2/(2*$F$7)</f>
        <v>4.6637534281051565E-2</v>
      </c>
      <c r="H16" s="1">
        <f t="shared" ref="H16:H24" si="6">D16/E16</f>
        <v>0.47748986249483144</v>
      </c>
      <c r="I16" s="1">
        <f t="shared" ref="I16:I24" si="7">($F$8/$B$4)*D16*H16^(2/3)</f>
        <v>102.18303416203679</v>
      </c>
      <c r="J16" s="1">
        <f t="shared" ref="J16:J24" si="8">B16+C16+G16</f>
        <v>0.7038778405784677</v>
      </c>
      <c r="K16" s="1">
        <f>($B$5)^2/((I15+I16)/2)^2</f>
        <v>5.2245725339545072E-4</v>
      </c>
      <c r="L16" s="1">
        <f>K16*(A16-A15)</f>
        <v>1.0449145067909015E-2</v>
      </c>
      <c r="M16" s="6">
        <f>J16-(J15+L16)</f>
        <v>0</v>
      </c>
      <c r="N16" s="2">
        <f t="shared" ref="N16:N24" si="9">($B$5^2/($F$7*(D16^3/$B$2)))</f>
        <v>8.9224242408180235E-2</v>
      </c>
      <c r="O16" s="2">
        <f t="shared" ref="O16:O24" si="10">IF(A16&gt;=100,$B$2*C16^2/2+$B$5^2/($F$7*D16),$K$2*C16^2/2+$B$5^2/($F$7*D16))</f>
        <v>1.020884333987377</v>
      </c>
      <c r="P16" s="2">
        <f t="shared" ref="P16:P24" si="11">C16+B16</f>
        <v>0.65724030629741614</v>
      </c>
      <c r="Q16" s="2">
        <f>$F$4+B16</f>
        <v>2.4305679282845096</v>
      </c>
      <c r="R16" s="2">
        <f>$F$5+B16</f>
        <v>0.03</v>
      </c>
      <c r="W16" s="1">
        <v>20</v>
      </c>
      <c r="X16" s="1">
        <f t="shared" ref="X16:X20" si="12">W16*$B$3</f>
        <v>0.03</v>
      </c>
      <c r="Y16" s="2">
        <v>0.65724030629741614</v>
      </c>
      <c r="Z16" s="2">
        <f t="shared" ref="Z16:Z20" si="13">X16+$O$2</f>
        <v>0.36231083202179482</v>
      </c>
      <c r="AA16" s="2">
        <f t="shared" ref="AA16:AA20" si="14">X16+$O$3</f>
        <v>0.48197290042911756</v>
      </c>
      <c r="AB16" s="1">
        <v>0.7038778405784677</v>
      </c>
    </row>
    <row r="17" spans="1:28" ht="16.5" x14ac:dyDescent="0.3">
      <c r="A17" s="1">
        <v>40</v>
      </c>
      <c r="B17" s="1">
        <f t="shared" si="1"/>
        <v>0.06</v>
      </c>
      <c r="C17" s="7">
        <v>0.60545296899469936</v>
      </c>
      <c r="D17" s="1">
        <f t="shared" si="2"/>
        <v>2.4218118759787974</v>
      </c>
      <c r="E17" s="1">
        <f t="shared" si="3"/>
        <v>5.2109059379893985</v>
      </c>
      <c r="F17" s="1">
        <f t="shared" si="4"/>
        <v>0.99099357130289811</v>
      </c>
      <c r="G17" s="1">
        <f t="shared" si="5"/>
        <v>5.0054447419147406E-2</v>
      </c>
      <c r="H17" s="1">
        <f t="shared" si="6"/>
        <v>0.46475831742095142</v>
      </c>
      <c r="I17" s="1">
        <f t="shared" si="7"/>
        <v>96.872518932521956</v>
      </c>
      <c r="J17" s="1">
        <f t="shared" si="8"/>
        <v>0.71550741641384674</v>
      </c>
      <c r="K17" s="1">
        <f t="shared" ref="K17:K24" si="15">($B$5)^2/((I16+I17)/2)^2</f>
        <v>5.8147879176896438E-4</v>
      </c>
      <c r="L17" s="1">
        <f t="shared" ref="L17:L24" si="16">K17*(A17-A16)</f>
        <v>1.1629575835379288E-2</v>
      </c>
      <c r="M17" s="6">
        <f t="shared" ref="M17:M24" si="17">J17-(J16+L17)</f>
        <v>0</v>
      </c>
      <c r="N17" s="2">
        <f t="shared" si="9"/>
        <v>9.9207271214988069E-2</v>
      </c>
      <c r="O17" s="2">
        <f t="shared" si="10"/>
        <v>0.97559150573948772</v>
      </c>
      <c r="P17" s="2">
        <f t="shared" si="11"/>
        <v>0.6654529689946993</v>
      </c>
      <c r="Q17" s="2">
        <f t="shared" ref="Q17:Q24" si="18">$F$4+B17</f>
        <v>2.4605679282845099</v>
      </c>
      <c r="R17" s="2">
        <f t="shared" ref="R17:R24" si="19">$F$5+B17</f>
        <v>0.06</v>
      </c>
      <c r="W17" s="1">
        <v>40</v>
      </c>
      <c r="X17" s="1">
        <f t="shared" si="12"/>
        <v>0.06</v>
      </c>
      <c r="Y17" s="2">
        <v>0.66545296899469952</v>
      </c>
      <c r="Z17" s="2">
        <f t="shared" si="13"/>
        <v>0.39231083202179479</v>
      </c>
      <c r="AA17" s="2">
        <f t="shared" si="14"/>
        <v>0.51197290042911758</v>
      </c>
      <c r="AB17" s="1">
        <v>0.71550741641384685</v>
      </c>
    </row>
    <row r="18" spans="1:28" ht="16.5" x14ac:dyDescent="0.3">
      <c r="A18" s="1">
        <v>60</v>
      </c>
      <c r="B18" s="1">
        <f t="shared" si="1"/>
        <v>0.09</v>
      </c>
      <c r="C18" s="7">
        <v>0.58478138119113943</v>
      </c>
      <c r="D18" s="1">
        <f t="shared" si="2"/>
        <v>2.3391255247645577</v>
      </c>
      <c r="E18" s="1">
        <f t="shared" si="3"/>
        <v>5.1695627623822791</v>
      </c>
      <c r="F18" s="1">
        <f t="shared" si="4"/>
        <v>1.0260244585384402</v>
      </c>
      <c r="G18" s="1">
        <f t="shared" si="5"/>
        <v>5.3655769088639109E-2</v>
      </c>
      <c r="H18" s="1">
        <f t="shared" si="6"/>
        <v>0.45248034162305506</v>
      </c>
      <c r="I18" s="1">
        <f t="shared" si="7"/>
        <v>91.909854677482201</v>
      </c>
      <c r="J18" s="1">
        <f t="shared" si="8"/>
        <v>0.72843715027977851</v>
      </c>
      <c r="K18" s="1">
        <f t="shared" si="15"/>
        <v>6.4648669329656452E-4</v>
      </c>
      <c r="L18" s="1">
        <f t="shared" si="16"/>
        <v>1.2929733865931291E-2</v>
      </c>
      <c r="M18" s="6">
        <f t="shared" si="17"/>
        <v>0</v>
      </c>
      <c r="N18" s="2">
        <f t="shared" si="9"/>
        <v>0.11010426285326902</v>
      </c>
      <c r="O18" s="2">
        <f t="shared" si="10"/>
        <v>0.93495368562785119</v>
      </c>
      <c r="P18" s="2">
        <f t="shared" si="11"/>
        <v>0.6747813811911394</v>
      </c>
      <c r="Q18" s="2">
        <f t="shared" si="18"/>
        <v>2.4905679282845097</v>
      </c>
      <c r="R18" s="2">
        <f t="shared" si="19"/>
        <v>0.09</v>
      </c>
      <c r="W18" s="1">
        <v>60</v>
      </c>
      <c r="X18" s="1">
        <f t="shared" si="12"/>
        <v>0.09</v>
      </c>
      <c r="Y18" s="2">
        <v>0.67478138119113917</v>
      </c>
      <c r="Z18" s="2">
        <f t="shared" si="13"/>
        <v>0.42231083202179476</v>
      </c>
      <c r="AA18" s="2">
        <f t="shared" si="14"/>
        <v>0.5419729004291175</v>
      </c>
      <c r="AB18" s="1">
        <v>0.72843715027977829</v>
      </c>
    </row>
    <row r="19" spans="1:28" ht="16.5" x14ac:dyDescent="0.3">
      <c r="A19" s="1">
        <v>80</v>
      </c>
      <c r="B19" s="1">
        <f t="shared" si="1"/>
        <v>0.12</v>
      </c>
      <c r="C19" s="7">
        <v>0.56538022465057747</v>
      </c>
      <c r="D19" s="1">
        <f t="shared" si="2"/>
        <v>2.2615208986023099</v>
      </c>
      <c r="E19" s="1">
        <f t="shared" si="3"/>
        <v>5.1307604493011549</v>
      </c>
      <c r="F19" s="1">
        <f t="shared" si="4"/>
        <v>1.0612327312488132</v>
      </c>
      <c r="G19" s="1">
        <f t="shared" si="5"/>
        <v>5.7401371553201623E-2</v>
      </c>
      <c r="H19" s="1">
        <f t="shared" si="6"/>
        <v>0.44077694153706681</v>
      </c>
      <c r="I19" s="1">
        <f t="shared" si="7"/>
        <v>87.321648191685114</v>
      </c>
      <c r="J19" s="1">
        <f t="shared" si="8"/>
        <v>0.74278159620377904</v>
      </c>
      <c r="K19" s="1">
        <f t="shared" si="15"/>
        <v>7.1722229620002588E-4</v>
      </c>
      <c r="L19" s="1">
        <f t="shared" si="16"/>
        <v>1.4344445924000518E-2</v>
      </c>
      <c r="M19" s="6">
        <f t="shared" si="17"/>
        <v>0</v>
      </c>
      <c r="N19" s="2">
        <f t="shared" si="9"/>
        <v>0.1218324286216642</v>
      </c>
      <c r="O19" s="2">
        <f t="shared" si="10"/>
        <v>0.89893839960387822</v>
      </c>
      <c r="P19" s="2">
        <f t="shared" si="11"/>
        <v>0.68538022465057746</v>
      </c>
      <c r="Q19" s="2">
        <f t="shared" si="18"/>
        <v>2.5205679282845099</v>
      </c>
      <c r="R19" s="2">
        <f t="shared" si="19"/>
        <v>0.12</v>
      </c>
      <c r="W19" s="1">
        <v>80</v>
      </c>
      <c r="X19" s="1">
        <f t="shared" si="12"/>
        <v>0.12</v>
      </c>
      <c r="Y19" s="2">
        <v>0.68538022465057724</v>
      </c>
      <c r="Z19" s="2">
        <f t="shared" si="13"/>
        <v>0.45231083202179478</v>
      </c>
      <c r="AA19" s="2">
        <f t="shared" si="14"/>
        <v>0.57197290042911753</v>
      </c>
      <c r="AB19" s="1">
        <v>0.74278159620377893</v>
      </c>
    </row>
    <row r="20" spans="1:28" ht="16.5" x14ac:dyDescent="0.3">
      <c r="A20" s="1">
        <v>100</v>
      </c>
      <c r="B20" s="1">
        <f t="shared" si="1"/>
        <v>0.15</v>
      </c>
      <c r="C20" s="7">
        <v>0.54740903079784864</v>
      </c>
      <c r="D20" s="1">
        <f>$K$2*C20</f>
        <v>2.1896361231913946</v>
      </c>
      <c r="E20" s="1">
        <f>$K$2+2*C20</f>
        <v>5.0948180615956975</v>
      </c>
      <c r="F20" s="1">
        <f t="shared" si="4"/>
        <v>1.0960725275677312</v>
      </c>
      <c r="G20" s="1">
        <f t="shared" si="5"/>
        <v>6.1232160330719404E-2</v>
      </c>
      <c r="H20" s="1">
        <f t="shared" si="6"/>
        <v>0.42977709836131034</v>
      </c>
      <c r="I20" s="1">
        <f t="shared" si="7"/>
        <v>83.133526407711258</v>
      </c>
      <c r="J20" s="1">
        <f t="shared" si="8"/>
        <v>0.75864119112856809</v>
      </c>
      <c r="K20" s="1">
        <f t="shared" si="15"/>
        <v>7.9297974623947264E-4</v>
      </c>
      <c r="L20" s="1">
        <f t="shared" si="16"/>
        <v>1.5859594924789451E-2</v>
      </c>
      <c r="M20" s="6">
        <f t="shared" si="17"/>
        <v>0</v>
      </c>
      <c r="N20" s="2">
        <f t="shared" si="9"/>
        <v>0.13422977748424839</v>
      </c>
      <c r="O20" s="2">
        <f>$K$2*C20^2/2+$B$5^2/($F$7*D20)</f>
        <v>0.86746559432046078</v>
      </c>
      <c r="P20" s="2">
        <f t="shared" si="11"/>
        <v>0.69740903079784866</v>
      </c>
      <c r="Q20" s="2">
        <f t="shared" si="18"/>
        <v>2.5505679282845097</v>
      </c>
      <c r="R20" s="2">
        <f t="shared" si="19"/>
        <v>0.15</v>
      </c>
      <c r="W20" s="1">
        <v>100</v>
      </c>
      <c r="X20" s="1">
        <f t="shared" si="12"/>
        <v>0.15</v>
      </c>
      <c r="Y20" s="2">
        <v>0.69740903079784888</v>
      </c>
      <c r="Z20" s="2">
        <f t="shared" si="13"/>
        <v>0.48231083202179481</v>
      </c>
      <c r="AA20" s="2">
        <f t="shared" si="14"/>
        <v>0.60197290042911755</v>
      </c>
      <c r="AB20" s="1">
        <v>0.7586411911285682</v>
      </c>
    </row>
    <row r="21" spans="1:28" ht="16.5" x14ac:dyDescent="0.3">
      <c r="A21" s="1">
        <v>100</v>
      </c>
      <c r="B21" s="1">
        <f>A21*$B$3</f>
        <v>0.15</v>
      </c>
      <c r="C21" s="7">
        <v>0.46713634649738395</v>
      </c>
      <c r="D21" s="1">
        <f>IF(A21&gt;=100, $B$2*C21, $K$2*C21)</f>
        <v>1.1211272315937215</v>
      </c>
      <c r="E21" s="1">
        <f>IF(A21&gt;=100, $B$2+2*C21, $K$2+2*C21)</f>
        <v>3.3342726929947677</v>
      </c>
      <c r="F21" s="1">
        <f t="shared" si="4"/>
        <v>2.1407026181928663</v>
      </c>
      <c r="G21" s="1">
        <f t="shared" si="5"/>
        <v>0.23356818040457655</v>
      </c>
      <c r="H21" s="1">
        <f t="shared" si="6"/>
        <v>0.33624341342841718</v>
      </c>
      <c r="I21" s="1">
        <f t="shared" si="7"/>
        <v>36.140944625749825</v>
      </c>
      <c r="J21" s="1">
        <f t="shared" si="8"/>
        <v>0.85070452690196041</v>
      </c>
      <c r="K21" s="1">
        <f t="shared" si="15"/>
        <v>1.6195243284617626E-3</v>
      </c>
      <c r="L21" s="1"/>
      <c r="M21" s="10">
        <f t="shared" si="17"/>
        <v>9.2063335773392319E-2</v>
      </c>
      <c r="N21" s="13">
        <f t="shared" si="9"/>
        <v>1.0000000306372421</v>
      </c>
      <c r="O21" s="2">
        <f>IF(A21&gt;=100,$B$2*C21^2/2+$B$5^2/($F$7*D21),$K$2*C21^2/2+$B$5^2/($F$7*D21))</f>
        <v>0.78557893443344062</v>
      </c>
      <c r="P21" s="2">
        <f t="shared" si="11"/>
        <v>0.61713634649738391</v>
      </c>
      <c r="Q21" s="2">
        <f t="shared" si="18"/>
        <v>2.5505679282845097</v>
      </c>
      <c r="R21" s="2">
        <f t="shared" si="19"/>
        <v>0.15</v>
      </c>
      <c r="W21" s="1">
        <v>100</v>
      </c>
      <c r="X21" s="1">
        <f>W21*$B$3</f>
        <v>0.15</v>
      </c>
      <c r="Y21" s="2">
        <v>0.61713635126797373</v>
      </c>
      <c r="Z21" s="2">
        <f t="shared" ref="Z21:Z31" si="20">X21+$F$2</f>
        <v>0.61713635126797373</v>
      </c>
      <c r="AA21" s="2">
        <f t="shared" ref="AA21:AA31" si="21">X21+$F$3</f>
        <v>0.82702472853137121</v>
      </c>
      <c r="AB21" s="1">
        <v>0.85070452690196052</v>
      </c>
    </row>
    <row r="22" spans="1:28" ht="16.5" x14ac:dyDescent="0.3">
      <c r="A22" s="1">
        <v>120</v>
      </c>
      <c r="B22" s="1">
        <f>A22*$B$3</f>
        <v>0.18</v>
      </c>
      <c r="C22" s="7">
        <v>0.58278466094955317</v>
      </c>
      <c r="D22" s="1">
        <f>IF(A22&gt;=100, $B$2*C22, $K$2*C22)</f>
        <v>1.3986831862789275</v>
      </c>
      <c r="E22" s="1">
        <f>IF(A22&gt;=100, $B$2+2*C22, $K$2+2*C22)</f>
        <v>3.5655693218991065</v>
      </c>
      <c r="F22" s="1">
        <f t="shared" si="4"/>
        <v>1.7158996572947924</v>
      </c>
      <c r="G22" s="1">
        <f t="shared" si="5"/>
        <v>0.1500668518809575</v>
      </c>
      <c r="H22" s="1">
        <f t="shared" si="6"/>
        <v>0.39227485430964942</v>
      </c>
      <c r="I22" s="1">
        <f t="shared" si="7"/>
        <v>49.967590571377009</v>
      </c>
      <c r="J22" s="1">
        <f t="shared" si="8"/>
        <v>0.91285151283051069</v>
      </c>
      <c r="K22" s="1">
        <f t="shared" si="15"/>
        <v>3.1073492742043508E-3</v>
      </c>
      <c r="L22" s="1">
        <f>K22*(A22-A21)</f>
        <v>6.2146985484087015E-2</v>
      </c>
      <c r="M22" s="6">
        <f>J22-(J21+L22)</f>
        <v>4.4446324398705883E-10</v>
      </c>
      <c r="N22" s="2">
        <f t="shared" si="9"/>
        <v>0.51499931942768662</v>
      </c>
      <c r="O22" s="2">
        <f>IF(A22&gt;=100,$B$2*C22^2/2+$B$5^2/($F$7*D22),$K$2*C22^2/2+$B$5^2/($F$7*D22))</f>
        <v>0.82735751833311366</v>
      </c>
      <c r="P22" s="2">
        <f t="shared" si="11"/>
        <v>0.76278466094955322</v>
      </c>
      <c r="Q22" s="2">
        <f t="shared" si="18"/>
        <v>2.58056792828451</v>
      </c>
      <c r="R22" s="2">
        <f t="shared" si="19"/>
        <v>0.18</v>
      </c>
      <c r="W22" s="1">
        <f>A22</f>
        <v>120</v>
      </c>
      <c r="X22">
        <v>0.18</v>
      </c>
      <c r="Y22" s="16">
        <v>0.76278465909364446</v>
      </c>
      <c r="Z22" s="2">
        <f t="shared" si="20"/>
        <v>0.64713635126797375</v>
      </c>
      <c r="AA22" s="2">
        <f t="shared" si="21"/>
        <v>0.85702472853137124</v>
      </c>
      <c r="AB22" s="2">
        <v>0.91356138615164695</v>
      </c>
    </row>
    <row r="23" spans="1:28" ht="16.5" x14ac:dyDescent="0.3">
      <c r="A23" s="14">
        <v>140</v>
      </c>
      <c r="B23" s="14">
        <f t="shared" si="1"/>
        <v>0.21</v>
      </c>
      <c r="C23" s="14">
        <v>0.60850927820662004</v>
      </c>
      <c r="D23" s="14">
        <f t="shared" si="2"/>
        <v>1.460422267695888</v>
      </c>
      <c r="E23" s="14">
        <f t="shared" si="3"/>
        <v>3.6170185564132398</v>
      </c>
      <c r="F23" s="14">
        <f t="shared" si="4"/>
        <v>1.6433603164559289</v>
      </c>
      <c r="G23" s="14">
        <f t="shared" si="5"/>
        <v>0.13764694850673451</v>
      </c>
      <c r="H23" s="14">
        <f t="shared" si="6"/>
        <v>0.40376410707278565</v>
      </c>
      <c r="I23" s="14">
        <f t="shared" si="7"/>
        <v>53.187020247737571</v>
      </c>
      <c r="J23" s="14">
        <f t="shared" si="8"/>
        <v>0.95615622671335454</v>
      </c>
      <c r="K23" s="14">
        <f t="shared" si="15"/>
        <v>2.1652357294703242E-3</v>
      </c>
      <c r="L23" s="14">
        <f>K23*(A23-A22)</f>
        <v>4.3304714589406483E-2</v>
      </c>
      <c r="M23" s="15">
        <f t="shared" si="17"/>
        <v>-7.06562586216819E-10</v>
      </c>
      <c r="N23" s="16">
        <f t="shared" si="9"/>
        <v>0.45240706571444034</v>
      </c>
      <c r="O23" s="16">
        <f t="shared" si="10"/>
        <v>0.84638558735549874</v>
      </c>
      <c r="P23" s="16">
        <f t="shared" si="11"/>
        <v>0.81850927820662001</v>
      </c>
      <c r="Q23" s="16">
        <f t="shared" si="18"/>
        <v>2.6105679282845098</v>
      </c>
      <c r="R23" s="16">
        <f t="shared" si="19"/>
        <v>0.21</v>
      </c>
      <c r="W23" s="1">
        <v>130</v>
      </c>
      <c r="X23">
        <v>0.19500000000000001</v>
      </c>
      <c r="Y23">
        <v>0.51186736095411411</v>
      </c>
      <c r="Z23" s="2">
        <f t="shared" si="20"/>
        <v>0.66213635126797377</v>
      </c>
      <c r="AA23" s="2">
        <f t="shared" si="21"/>
        <v>0.87202472853137114</v>
      </c>
      <c r="AB23" s="2">
        <v>1.0194958450900011</v>
      </c>
    </row>
    <row r="24" spans="1:28" ht="16.5" x14ac:dyDescent="0.3">
      <c r="A24" s="14">
        <v>150</v>
      </c>
      <c r="B24" s="14">
        <f t="shared" si="1"/>
        <v>0.22500000000000001</v>
      </c>
      <c r="C24" s="14">
        <v>0.61737128307299527</v>
      </c>
      <c r="D24" s="14">
        <f t="shared" si="2"/>
        <v>1.4816910793751885</v>
      </c>
      <c r="E24" s="14">
        <f t="shared" si="3"/>
        <v>3.6347425661459907</v>
      </c>
      <c r="F24" s="14">
        <f t="shared" si="4"/>
        <v>1.6197708371248691</v>
      </c>
      <c r="G24" s="14">
        <f t="shared" si="5"/>
        <v>0.13372362715597344</v>
      </c>
      <c r="H24" s="14">
        <f t="shared" si="6"/>
        <v>0.40764677344020622</v>
      </c>
      <c r="I24" s="14">
        <f t="shared" si="7"/>
        <v>54.306991774268873</v>
      </c>
      <c r="J24" s="14">
        <f t="shared" si="8"/>
        <v>0.97609491022896866</v>
      </c>
      <c r="K24" s="14">
        <f t="shared" si="15"/>
        <v>1.9939484666917097E-3</v>
      </c>
      <c r="L24" s="14">
        <f t="shared" si="16"/>
        <v>1.9939484666917098E-2</v>
      </c>
      <c r="M24" s="15">
        <f t="shared" si="17"/>
        <v>-8.0115130296487536E-7</v>
      </c>
      <c r="N24" s="16">
        <f t="shared" si="9"/>
        <v>0.43320326300361006</v>
      </c>
      <c r="O24" s="16">
        <f t="shared" si="10"/>
        <v>0.85365097231323483</v>
      </c>
      <c r="P24" s="16">
        <f t="shared" si="11"/>
        <v>0.84237128307299525</v>
      </c>
      <c r="Q24" s="16">
        <f t="shared" si="18"/>
        <v>2.6255679282845099</v>
      </c>
      <c r="R24" s="16">
        <f t="shared" si="19"/>
        <v>0.22500000000000001</v>
      </c>
      <c r="W24" s="1">
        <v>140</v>
      </c>
      <c r="X24">
        <v>0.21000000000000002</v>
      </c>
      <c r="Y24">
        <v>0.47448527157060127</v>
      </c>
      <c r="Z24" s="2">
        <f t="shared" si="20"/>
        <v>0.67713635126797378</v>
      </c>
      <c r="AA24" s="2">
        <f t="shared" si="21"/>
        <v>0.88702472853137126</v>
      </c>
      <c r="AB24" s="2">
        <v>1.2031001109904418</v>
      </c>
    </row>
    <row r="25" spans="1:28" ht="16.5" x14ac:dyDescent="0.3">
      <c r="A25" s="1"/>
      <c r="B25" s="1"/>
      <c r="C25" s="1"/>
      <c r="D25" s="1"/>
      <c r="E25" s="1"/>
      <c r="F25" s="1"/>
      <c r="G25" s="1"/>
      <c r="H25" s="1"/>
      <c r="I25" s="1"/>
      <c r="J25" s="1"/>
      <c r="K25" s="1"/>
      <c r="L25" s="1"/>
      <c r="M25" s="10"/>
      <c r="N25" s="2"/>
      <c r="O25" s="2"/>
      <c r="P25" s="2"/>
      <c r="Q25" s="2"/>
      <c r="R25" s="2"/>
      <c r="W25" s="1">
        <v>150</v>
      </c>
      <c r="X25">
        <v>0.22500000000000001</v>
      </c>
      <c r="Y25">
        <v>0.441</v>
      </c>
      <c r="Z25" s="2">
        <f t="shared" si="20"/>
        <v>0.69213635126797379</v>
      </c>
      <c r="AA25" s="2">
        <f t="shared" si="21"/>
        <v>0.90202472853137117</v>
      </c>
      <c r="AB25" s="2">
        <v>1.5334296894772979</v>
      </c>
    </row>
    <row r="26" spans="1:28" ht="16.5" x14ac:dyDescent="0.3">
      <c r="Q26" s="2"/>
      <c r="R26" s="2"/>
      <c r="W26" s="1">
        <v>150</v>
      </c>
      <c r="X26" s="1">
        <v>0.22500000000000001</v>
      </c>
      <c r="Y26" s="1">
        <v>1.5021834822007496</v>
      </c>
      <c r="Z26" s="2">
        <f t="shared" si="20"/>
        <v>0.69213635126797379</v>
      </c>
      <c r="AA26" s="2">
        <f t="shared" si="21"/>
        <v>0.90202472853137117</v>
      </c>
      <c r="AB26" s="1">
        <v>1.533429480918036</v>
      </c>
    </row>
    <row r="27" spans="1:28" ht="16.5" x14ac:dyDescent="0.3">
      <c r="D27" s="2"/>
      <c r="Q27" s="2"/>
      <c r="R27" s="2"/>
      <c r="W27" s="1">
        <v>160</v>
      </c>
      <c r="X27" s="1">
        <f t="shared" ref="X27:X31" si="22">W27*$B$3</f>
        <v>0.24</v>
      </c>
      <c r="Y27" s="1">
        <v>1.5041898406512249</v>
      </c>
      <c r="Z27" s="2">
        <f t="shared" si="20"/>
        <v>0.70713635126797381</v>
      </c>
      <c r="AA27" s="2">
        <f t="shared" si="21"/>
        <v>0.91702472853137118</v>
      </c>
      <c r="AB27" s="1">
        <v>1.5360814477612028</v>
      </c>
    </row>
    <row r="28" spans="1:28" ht="16.5" x14ac:dyDescent="0.3">
      <c r="Q28" s="2"/>
      <c r="R28" s="2"/>
      <c r="W28" s="1">
        <v>170</v>
      </c>
      <c r="X28" s="1">
        <f t="shared" si="22"/>
        <v>0.255</v>
      </c>
      <c r="Y28" s="1">
        <v>1.5062519255354334</v>
      </c>
      <c r="Z28" s="2">
        <f t="shared" si="20"/>
        <v>0.72213635126797371</v>
      </c>
      <c r="AA28" s="2">
        <f t="shared" si="21"/>
        <v>0.93202472853137119</v>
      </c>
      <c r="AB28" s="1">
        <v>1.5388064592562736</v>
      </c>
    </row>
    <row r="29" spans="1:28" ht="16.5" x14ac:dyDescent="0.3">
      <c r="Q29" s="2"/>
      <c r="R29" s="2"/>
      <c r="W29" s="1">
        <v>180</v>
      </c>
      <c r="X29" s="1">
        <f t="shared" si="22"/>
        <v>0.27</v>
      </c>
      <c r="Y29" s="1">
        <v>1.5083718332592395</v>
      </c>
      <c r="Z29" s="2">
        <f t="shared" si="20"/>
        <v>0.73713635126797383</v>
      </c>
      <c r="AA29" s="2">
        <f t="shared" si="21"/>
        <v>0.94702472853137121</v>
      </c>
      <c r="AB29" s="1">
        <v>1.5416070768422541</v>
      </c>
    </row>
    <row r="30" spans="1:28" ht="16.5" x14ac:dyDescent="0.3">
      <c r="Q30" s="2"/>
      <c r="R30" s="2"/>
      <c r="W30" s="1">
        <v>190</v>
      </c>
      <c r="X30" s="1">
        <f t="shared" si="22"/>
        <v>0.28500000000000003</v>
      </c>
      <c r="Y30" s="1">
        <v>1.5105517518891123</v>
      </c>
      <c r="Z30" s="2">
        <f t="shared" si="20"/>
        <v>0.75213635126797374</v>
      </c>
      <c r="AA30" s="2">
        <f t="shared" si="21"/>
        <v>0.96202472853137122</v>
      </c>
      <c r="AB30" s="1">
        <v>1.5444859574832177</v>
      </c>
    </row>
    <row r="31" spans="1:28" ht="16.5" x14ac:dyDescent="0.3">
      <c r="Q31" s="2"/>
      <c r="R31" s="2"/>
      <c r="W31" s="1">
        <v>200</v>
      </c>
      <c r="X31" s="1">
        <f t="shared" si="22"/>
        <v>0.3</v>
      </c>
      <c r="Y31" s="1">
        <v>1.5127939652750151</v>
      </c>
      <c r="Z31" s="2">
        <f t="shared" si="20"/>
        <v>0.76713635126797375</v>
      </c>
      <c r="AA31" s="2">
        <f t="shared" si="21"/>
        <v>0.97702472853137112</v>
      </c>
      <c r="AB31" s="1">
        <v>1.5474458564940023</v>
      </c>
    </row>
    <row r="32" spans="1:28" ht="16.5" x14ac:dyDescent="0.3">
      <c r="Q32" s="2"/>
      <c r="R32" s="2"/>
      <c r="W32" s="1"/>
      <c r="X32" s="2"/>
      <c r="Y32" s="2"/>
      <c r="Z32" s="2"/>
      <c r="AA32" s="2"/>
      <c r="AB32" s="2"/>
    </row>
    <row r="33" spans="1:28" ht="16.5" x14ac:dyDescent="0.3">
      <c r="Q33" s="2"/>
      <c r="R33" s="2"/>
      <c r="W33" s="1"/>
      <c r="X33" s="2"/>
      <c r="Y33" s="2"/>
      <c r="Z33" s="2"/>
      <c r="AA33" s="2"/>
      <c r="AB33" s="2"/>
    </row>
    <row r="34" spans="1:28" ht="16.5" x14ac:dyDescent="0.3">
      <c r="Q34" s="2"/>
      <c r="R34" s="2"/>
      <c r="W34" s="1"/>
      <c r="X34" s="2"/>
      <c r="Y34" s="2"/>
      <c r="Z34" s="2"/>
      <c r="AA34" s="2"/>
      <c r="AB34" s="2"/>
    </row>
    <row r="35" spans="1:28" ht="16.5" x14ac:dyDescent="0.3">
      <c r="A35" s="1"/>
      <c r="B35" s="1"/>
      <c r="C35" s="1"/>
      <c r="D35" s="1"/>
      <c r="E35" s="1"/>
      <c r="F35" s="1"/>
      <c r="G35" s="1"/>
      <c r="H35" s="1"/>
      <c r="I35" s="1"/>
      <c r="J35" s="1"/>
      <c r="K35" s="1"/>
      <c r="L35" s="1"/>
      <c r="M35" s="1"/>
      <c r="N35" s="1"/>
      <c r="O35" s="1"/>
      <c r="P35" s="1"/>
      <c r="Q35" s="1"/>
      <c r="R35" s="1"/>
      <c r="W35" s="1"/>
      <c r="X35" s="2"/>
      <c r="Y35" s="2"/>
      <c r="Z35" s="2"/>
      <c r="AA35" s="2"/>
      <c r="AB35" s="2"/>
    </row>
    <row r="36" spans="1:28" ht="16.5" x14ac:dyDescent="0.3">
      <c r="A36" s="1"/>
      <c r="B36" s="1"/>
      <c r="C36" s="1"/>
      <c r="D36" s="1"/>
      <c r="E36" s="1"/>
      <c r="F36" s="1"/>
      <c r="G36" s="1"/>
      <c r="H36" s="1"/>
      <c r="I36" s="1"/>
      <c r="J36" s="1"/>
      <c r="K36" s="1"/>
      <c r="L36" s="1"/>
      <c r="M36" s="1"/>
      <c r="N36" s="1"/>
      <c r="O36" s="1"/>
      <c r="P36" s="1"/>
      <c r="Q36" s="1"/>
      <c r="R36" s="1"/>
      <c r="W36" s="1"/>
      <c r="X36" s="2"/>
      <c r="Y36" s="2"/>
      <c r="Z36" s="2"/>
      <c r="AA36" s="2"/>
      <c r="AB36" s="2"/>
    </row>
    <row r="37" spans="1:28" ht="16.5" x14ac:dyDescent="0.3">
      <c r="A37" s="1"/>
      <c r="B37" s="1"/>
      <c r="C37" s="1"/>
      <c r="D37" s="1"/>
      <c r="E37" s="1"/>
      <c r="F37" s="1"/>
      <c r="G37" s="1"/>
      <c r="H37" s="1"/>
      <c r="I37" s="1"/>
      <c r="J37" s="1"/>
      <c r="K37" s="1"/>
      <c r="L37" s="1"/>
      <c r="M37" s="1"/>
      <c r="N37" s="1"/>
      <c r="O37" s="1"/>
      <c r="P37" s="1"/>
      <c r="Q37" s="1"/>
      <c r="R37" s="1"/>
      <c r="W37" s="1"/>
      <c r="X37" s="2"/>
      <c r="Y37" s="2"/>
      <c r="Z37" s="2"/>
      <c r="AA37" s="2"/>
      <c r="AB37" s="2"/>
    </row>
    <row r="38" spans="1:28" ht="16.5" x14ac:dyDescent="0.3">
      <c r="A38" s="1"/>
      <c r="B38" s="1"/>
      <c r="C38" s="1"/>
      <c r="D38" s="1"/>
      <c r="E38" s="1"/>
      <c r="F38" s="1"/>
      <c r="G38" s="1"/>
      <c r="H38" s="1"/>
      <c r="I38" s="1"/>
      <c r="J38" s="1"/>
      <c r="K38" s="1"/>
      <c r="L38" s="1"/>
      <c r="M38" s="1"/>
      <c r="N38" s="1"/>
      <c r="O38" s="1"/>
      <c r="P38" s="1"/>
      <c r="Q38" s="1"/>
      <c r="R38" s="1"/>
      <c r="W38" s="1"/>
      <c r="X38" s="2"/>
      <c r="Y38" s="2"/>
      <c r="Z38" s="2"/>
      <c r="AA38" s="2"/>
      <c r="AB38" s="2"/>
    </row>
    <row r="39" spans="1:28" ht="16.5" x14ac:dyDescent="0.3">
      <c r="A39" s="1" t="s">
        <v>15</v>
      </c>
      <c r="B39" s="1">
        <f>B6</f>
        <v>0.36</v>
      </c>
      <c r="C39" s="1" t="s">
        <v>2</v>
      </c>
      <c r="D39" s="1"/>
      <c r="E39" s="1"/>
      <c r="F39" s="1"/>
      <c r="G39" s="1"/>
      <c r="H39" s="1"/>
      <c r="I39" s="1"/>
      <c r="J39" s="1"/>
      <c r="K39" s="1"/>
      <c r="L39" s="1"/>
      <c r="M39" s="1"/>
      <c r="N39" s="1"/>
      <c r="O39" s="1"/>
      <c r="P39" s="1"/>
      <c r="Q39" s="1"/>
      <c r="R39" s="1"/>
      <c r="W39" s="1"/>
      <c r="X39" s="2"/>
      <c r="Y39" s="2"/>
      <c r="Z39" s="2"/>
      <c r="AA39" s="2"/>
      <c r="AB39" s="2"/>
    </row>
    <row r="40" spans="1:28" ht="16.5" x14ac:dyDescent="0.3">
      <c r="A40" s="1"/>
      <c r="B40" s="1"/>
      <c r="C40" s="1"/>
      <c r="D40" s="1"/>
      <c r="E40" s="1"/>
      <c r="F40" s="1"/>
      <c r="G40" s="1"/>
      <c r="H40" s="1"/>
      <c r="I40" s="1"/>
      <c r="J40" s="1"/>
      <c r="K40" s="1"/>
      <c r="L40" s="1"/>
      <c r="M40" s="1"/>
      <c r="N40" s="1"/>
      <c r="O40" s="1"/>
      <c r="P40" s="1"/>
      <c r="Q40" s="1"/>
      <c r="R40" s="1"/>
      <c r="W40" s="1"/>
      <c r="X40" s="1"/>
      <c r="Y40" s="1"/>
      <c r="Z40" s="1"/>
      <c r="AA40" s="1"/>
      <c r="AB40" s="1"/>
    </row>
    <row r="41" spans="1:28" ht="18.75" x14ac:dyDescent="0.35">
      <c r="A41" s="1" t="s">
        <v>20</v>
      </c>
      <c r="B41" s="1" t="s">
        <v>21</v>
      </c>
      <c r="C41" s="1" t="s">
        <v>22</v>
      </c>
      <c r="D41" s="1" t="s">
        <v>23</v>
      </c>
      <c r="E41" s="1" t="s">
        <v>24</v>
      </c>
      <c r="F41" s="1" t="s">
        <v>25</v>
      </c>
      <c r="G41" s="1" t="s">
        <v>26</v>
      </c>
      <c r="H41" s="1" t="s">
        <v>27</v>
      </c>
      <c r="I41" s="1" t="s">
        <v>28</v>
      </c>
      <c r="J41" s="1" t="s">
        <v>29</v>
      </c>
      <c r="K41" s="1" t="s">
        <v>30</v>
      </c>
      <c r="L41" s="1" t="s">
        <v>31</v>
      </c>
      <c r="M41" s="1" t="s">
        <v>32</v>
      </c>
      <c r="N41" s="1" t="s">
        <v>33</v>
      </c>
      <c r="O41" s="1" t="s">
        <v>34</v>
      </c>
      <c r="P41" s="1" t="s">
        <v>35</v>
      </c>
      <c r="Q41" s="1" t="s">
        <v>36</v>
      </c>
      <c r="R41" s="1" t="s">
        <v>37</v>
      </c>
      <c r="W41" s="1"/>
      <c r="X41" s="2"/>
      <c r="Y41" s="2"/>
      <c r="Z41" s="2"/>
      <c r="AA41" s="2"/>
      <c r="AB41" s="2"/>
    </row>
    <row r="42" spans="1:28" ht="18" x14ac:dyDescent="0.3">
      <c r="A42" s="1" t="s">
        <v>0</v>
      </c>
      <c r="B42" s="1" t="s">
        <v>0</v>
      </c>
      <c r="C42" s="1" t="s">
        <v>0</v>
      </c>
      <c r="D42" s="1" t="s">
        <v>44</v>
      </c>
      <c r="E42" s="1" t="s">
        <v>0</v>
      </c>
      <c r="F42" s="1" t="s">
        <v>43</v>
      </c>
      <c r="G42" s="1" t="s">
        <v>0</v>
      </c>
      <c r="H42" s="1" t="s">
        <v>0</v>
      </c>
      <c r="I42" s="1" t="s">
        <v>42</v>
      </c>
      <c r="J42" s="1" t="s">
        <v>0</v>
      </c>
      <c r="K42" s="1"/>
      <c r="L42" s="1" t="s">
        <v>0</v>
      </c>
      <c r="M42" s="1" t="s">
        <v>0</v>
      </c>
      <c r="N42" s="1"/>
      <c r="O42" s="1" t="s">
        <v>41</v>
      </c>
      <c r="P42" s="1" t="s">
        <v>0</v>
      </c>
      <c r="Q42" s="1" t="s">
        <v>0</v>
      </c>
      <c r="R42" s="1" t="s">
        <v>0</v>
      </c>
      <c r="W42" s="1"/>
      <c r="X42" s="2"/>
      <c r="Y42" s="2"/>
      <c r="Z42" s="2"/>
      <c r="AA42" s="2"/>
      <c r="AB42" s="2"/>
    </row>
    <row r="43" spans="1:28" ht="16.5" x14ac:dyDescent="0.3">
      <c r="A43" s="1">
        <v>150</v>
      </c>
      <c r="B43" s="2">
        <v>0.22500000000000001</v>
      </c>
      <c r="C43" s="1">
        <f>$B$7*$B$39</f>
        <v>0.216</v>
      </c>
      <c r="D43" s="2">
        <f>IF(A43&gt;=100, $B$2*C43, $K$2*C43)</f>
        <v>0.51839999999999997</v>
      </c>
      <c r="E43" s="2">
        <f>IF(A43&gt;=100, $B$2+2*C43, $K$2+2*C43)</f>
        <v>2.8319999999999999</v>
      </c>
      <c r="F43" s="2">
        <f>$B$5/D43</f>
        <v>4.6296296296296298</v>
      </c>
      <c r="G43" s="2">
        <f>(F43)^2/(2*$F$7)</f>
        <v>1.0924296894772978</v>
      </c>
      <c r="H43" s="2">
        <f>D43/E43</f>
        <v>0.18305084745762712</v>
      </c>
      <c r="I43" s="1">
        <f>($F$8/$B$4)*D43*H43^(2/3)</f>
        <v>11.141788146022799</v>
      </c>
      <c r="J43" s="2">
        <f>B43+C43+G43</f>
        <v>1.5334296894772979</v>
      </c>
      <c r="K43" s="1"/>
      <c r="L43" s="1"/>
      <c r="M43" s="1"/>
      <c r="N43" s="2">
        <f>($B$5^2/($F$7*(D43^3/$B$2)))</f>
        <v>10.115089717382387</v>
      </c>
      <c r="O43" s="2">
        <f>IF(A43&gt;=100,$B$2*(C43^2)/2+($B$5^2)/($F$7*D43),$K$2*(C43^2)/2+($B$5^2)/($F$7*D43))</f>
        <v>1.188618302050062</v>
      </c>
      <c r="P43" s="2">
        <f>C43+B43</f>
        <v>0.441</v>
      </c>
      <c r="Q43" s="2">
        <f>$F$4+B43</f>
        <v>2.6255679282845099</v>
      </c>
      <c r="R43" s="2">
        <f>$F$5+B43</f>
        <v>0.22500000000000001</v>
      </c>
      <c r="W43" s="1"/>
      <c r="X43" s="2"/>
      <c r="Y43" s="2"/>
      <c r="Z43" s="2"/>
      <c r="AA43" s="2"/>
      <c r="AB43" s="2"/>
    </row>
    <row r="44" spans="1:28" ht="16.5" x14ac:dyDescent="0.3">
      <c r="A44" s="1">
        <v>140</v>
      </c>
      <c r="B44" s="2">
        <f>B43-(A43-A44)*$B$3</f>
        <v>0.21000000000000002</v>
      </c>
      <c r="C44" s="7">
        <v>0.26448527157060125</v>
      </c>
      <c r="D44" s="2">
        <f t="shared" ref="D44:D46" si="23">IF(A44&gt;=100, $B$2*C44, $K$2*C44)</f>
        <v>0.63476465176944297</v>
      </c>
      <c r="E44" s="2">
        <f t="shared" ref="E44:E46" si="24">IF(A44&gt;=100, $B$2+2*C44, $K$2+2*C44)</f>
        <v>2.9289705431412023</v>
      </c>
      <c r="F44" s="2">
        <f t="shared" ref="F44:F46" si="25">$B$5/D44</f>
        <v>3.7809288738902866</v>
      </c>
      <c r="G44" s="2">
        <f t="shared" ref="G44:G46" si="26">(F44)^2/(2*$F$7)</f>
        <v>0.72861483941984051</v>
      </c>
      <c r="H44" s="2">
        <f t="shared" ref="H44:H46" si="27">D44/E44</f>
        <v>0.21671937031114133</v>
      </c>
      <c r="I44" s="1">
        <f t="shared" ref="I44:I46" si="28">($F$8/$B$4)*D44*H44^(2/3)</f>
        <v>15.2681574022851</v>
      </c>
      <c r="J44" s="2">
        <f t="shared" ref="J44:J45" si="29">B44+C44+G44</f>
        <v>1.2031001109904418</v>
      </c>
      <c r="K44" s="1">
        <f>($B$5)^2/((I43+I44)/2)^2</f>
        <v>3.3032957848685623E-2</v>
      </c>
      <c r="L44" s="1">
        <f>K44*(A43-A44)</f>
        <v>0.33032957848685623</v>
      </c>
      <c r="M44" s="6">
        <f>J43-(J44+L44)</f>
        <v>0</v>
      </c>
      <c r="N44" s="2">
        <f t="shared" ref="N44:N46" si="30">($B$5^2/($F$7*(D44^3/$B$2)))</f>
        <v>5.5096817686148203</v>
      </c>
      <c r="O44" s="2">
        <f>IF(A44&gt;=100,$B$2*(C44^2)/2+($B$5^2)/($F$7*D44),$K$2*(C44^2)/2+($B$5^2)/($F$7*D44))</f>
        <v>1.008940840290097</v>
      </c>
      <c r="P44" s="2">
        <f t="shared" ref="P44:P45" si="31">C44+B44</f>
        <v>0.47448527157060127</v>
      </c>
      <c r="Q44" s="2">
        <f>$F$4+B44</f>
        <v>2.6105679282845098</v>
      </c>
      <c r="R44" s="2">
        <f>$F$5+B44</f>
        <v>0.21000000000000002</v>
      </c>
      <c r="W44" s="1"/>
      <c r="X44" s="2"/>
      <c r="Y44" s="2"/>
      <c r="Z44" s="2"/>
      <c r="AA44" s="2"/>
      <c r="AB44" s="2"/>
    </row>
    <row r="45" spans="1:28" ht="16.5" x14ac:dyDescent="0.3">
      <c r="A45" s="1">
        <v>130</v>
      </c>
      <c r="B45" s="2">
        <f t="shared" ref="B45" si="32">B44-(A44-A45)*$B$3</f>
        <v>0.19500000000000001</v>
      </c>
      <c r="C45" s="7">
        <v>0.31686736095411411</v>
      </c>
      <c r="D45" s="2">
        <f t="shared" si="23"/>
        <v>0.76048166628987379</v>
      </c>
      <c r="E45" s="2">
        <f t="shared" si="24"/>
        <v>3.0337347219082282</v>
      </c>
      <c r="F45" s="2">
        <f t="shared" si="25"/>
        <v>3.1558946209824721</v>
      </c>
      <c r="G45" s="2">
        <f t="shared" si="26"/>
        <v>0.5076284841358869</v>
      </c>
      <c r="H45" s="2">
        <f t="shared" si="27"/>
        <v>0.25067507082871393</v>
      </c>
      <c r="I45" s="1">
        <f t="shared" si="28"/>
        <v>20.156026485647949</v>
      </c>
      <c r="J45" s="2">
        <f t="shared" si="29"/>
        <v>1.0194958450900011</v>
      </c>
      <c r="K45" s="1">
        <f t="shared" ref="K45:K46" si="33">($B$5)^2/((I44+I45)/2)^2</f>
        <v>1.8360426590044127E-2</v>
      </c>
      <c r="L45" s="1">
        <f t="shared" ref="L45:L46" si="34">K45*(A44-A45)</f>
        <v>0.18360426590044127</v>
      </c>
      <c r="M45" s="6">
        <f t="shared" ref="M45" si="35">J44-(J45+L45)</f>
        <v>0</v>
      </c>
      <c r="N45" s="2">
        <f t="shared" si="30"/>
        <v>3.2040440050838628</v>
      </c>
      <c r="O45" s="2">
        <f t="shared" ref="O45:O46" si="36">IF(A45&gt;=100,$B$2*(C45^2)/2+($B$5^2)/($F$7*D45),$K$2*(C45^2)/2+($B$5^2)/($F$7*D45))</f>
        <v>0.89257022026935373</v>
      </c>
      <c r="P45" s="2">
        <f t="shared" si="31"/>
        <v>0.51186736095411411</v>
      </c>
      <c r="Q45" s="2">
        <f t="shared" ref="Q45" si="37">$F$4+B45</f>
        <v>2.5955679282845097</v>
      </c>
      <c r="R45" s="2">
        <f t="shared" ref="R45" si="38">$F$5+B45</f>
        <v>0.19500000000000001</v>
      </c>
      <c r="W45" s="1"/>
      <c r="X45" s="2"/>
      <c r="Y45" s="2"/>
      <c r="Z45" s="2"/>
      <c r="AA45" s="2"/>
      <c r="AB45" s="2"/>
    </row>
    <row r="46" spans="1:28" ht="16.5" x14ac:dyDescent="0.3">
      <c r="A46" s="17">
        <v>120</v>
      </c>
      <c r="B46" s="18">
        <f>B45-(A45-A46)*$B$3</f>
        <v>0.18</v>
      </c>
      <c r="C46" s="7">
        <v>0.37931080245975463</v>
      </c>
      <c r="D46" s="18">
        <f t="shared" si="23"/>
        <v>0.91034592590341101</v>
      </c>
      <c r="E46" s="18">
        <f t="shared" si="24"/>
        <v>3.1586216049195093</v>
      </c>
      <c r="F46" s="18">
        <f t="shared" si="25"/>
        <v>2.6363604556347995</v>
      </c>
      <c r="G46" s="18">
        <f t="shared" si="26"/>
        <v>0.35425058369189227</v>
      </c>
      <c r="H46" s="18">
        <f t="shared" si="27"/>
        <v>0.28820987119367508</v>
      </c>
      <c r="I46" s="17">
        <f t="shared" si="28"/>
        <v>26.480189869001471</v>
      </c>
      <c r="J46" s="18">
        <f>B46+C46+G46</f>
        <v>0.91356138615164695</v>
      </c>
      <c r="K46" s="17">
        <f t="shared" si="33"/>
        <v>1.0593411870578934E-2</v>
      </c>
      <c r="L46" s="17">
        <f t="shared" si="34"/>
        <v>0.10593411870578934</v>
      </c>
      <c r="M46" s="19">
        <f>J45-(J46+L46)</f>
        <v>3.4023256478832309E-7</v>
      </c>
      <c r="N46" s="18">
        <f t="shared" si="30"/>
        <v>1.8678644604617012</v>
      </c>
      <c r="O46" s="18">
        <f t="shared" si="36"/>
        <v>0.81763317306083449</v>
      </c>
      <c r="P46" s="18">
        <f>C46+B46</f>
        <v>0.55931080245975462</v>
      </c>
      <c r="Q46" s="18">
        <f>$F$4+B46</f>
        <v>2.58056792828451</v>
      </c>
      <c r="R46" s="18">
        <f>$F$5+B46</f>
        <v>0.18</v>
      </c>
      <c r="W46" s="1"/>
      <c r="X46" s="2"/>
      <c r="Y46" s="2"/>
      <c r="Z46" s="2"/>
      <c r="AA46" s="2"/>
      <c r="AB46" s="2"/>
    </row>
    <row r="47" spans="1:28" ht="16.5" x14ac:dyDescent="0.3">
      <c r="A47" s="1"/>
      <c r="B47" s="2"/>
      <c r="C47" s="1"/>
      <c r="D47" s="2"/>
      <c r="E47" s="2"/>
      <c r="F47" s="2"/>
      <c r="G47" s="2"/>
      <c r="H47" s="2"/>
      <c r="I47" s="1"/>
      <c r="J47" s="2"/>
      <c r="K47" s="1"/>
      <c r="L47" s="1"/>
      <c r="M47" s="10"/>
      <c r="N47" s="2"/>
      <c r="O47" s="2"/>
      <c r="P47" s="2"/>
      <c r="Q47" s="2"/>
      <c r="R47" s="2"/>
      <c r="W47" s="1"/>
      <c r="X47" s="2"/>
      <c r="Y47" s="2"/>
      <c r="Z47" s="2"/>
      <c r="AA47" s="2"/>
      <c r="AB47" s="2"/>
    </row>
    <row r="48" spans="1:28" ht="16.5" x14ac:dyDescent="0.3">
      <c r="A48" s="1"/>
      <c r="B48" s="2"/>
      <c r="C48" s="1"/>
      <c r="D48" s="2"/>
      <c r="E48" s="2"/>
      <c r="F48" s="2"/>
      <c r="G48" s="2"/>
      <c r="H48" s="2"/>
      <c r="I48" s="1"/>
      <c r="K48" s="1"/>
      <c r="L48" s="1"/>
      <c r="M48" s="10"/>
      <c r="N48" s="2"/>
      <c r="O48" s="2"/>
      <c r="P48" s="2"/>
      <c r="Q48" s="2"/>
      <c r="R48" s="2"/>
      <c r="S48" s="1"/>
      <c r="T48" s="2"/>
      <c r="U48" s="2"/>
      <c r="V48" s="2"/>
      <c r="W48" s="2"/>
      <c r="X48" s="2"/>
    </row>
    <row r="49" spans="1:24" ht="16.5" x14ac:dyDescent="0.3">
      <c r="A49" s="1"/>
      <c r="B49" s="2"/>
      <c r="C49" s="1"/>
      <c r="D49" s="2"/>
      <c r="E49" s="2"/>
      <c r="F49" s="2"/>
      <c r="G49" s="2"/>
      <c r="H49" s="2"/>
      <c r="I49" s="1"/>
      <c r="K49" s="1"/>
      <c r="L49" s="1"/>
      <c r="M49" s="10"/>
      <c r="N49" s="2"/>
      <c r="O49" s="2"/>
      <c r="P49" s="2"/>
      <c r="Q49" s="2"/>
      <c r="R49" s="2"/>
      <c r="S49" s="1"/>
      <c r="T49" s="2"/>
      <c r="U49" s="2"/>
      <c r="V49" s="2"/>
      <c r="W49" s="2"/>
      <c r="X49" s="2"/>
    </row>
    <row r="50" spans="1:24" ht="16.5" x14ac:dyDescent="0.3">
      <c r="A50" s="1"/>
      <c r="B50" s="2"/>
      <c r="C50" s="1"/>
      <c r="D50" s="2"/>
      <c r="E50" s="2"/>
      <c r="F50" s="2"/>
      <c r="G50" s="2"/>
      <c r="H50" s="2"/>
      <c r="I50" s="1"/>
      <c r="K50" s="1"/>
      <c r="L50" s="1"/>
      <c r="M50" s="10"/>
      <c r="N50" s="2"/>
      <c r="O50" s="2"/>
      <c r="P50" s="2"/>
      <c r="Q50" s="2"/>
      <c r="R50" s="2"/>
      <c r="S50" s="1"/>
      <c r="T50" s="1"/>
      <c r="U50" s="1"/>
      <c r="V50" s="1"/>
      <c r="W50" s="1"/>
      <c r="X50" s="1"/>
    </row>
    <row r="51" spans="1:24" ht="16.5" x14ac:dyDescent="0.3">
      <c r="A51" s="1"/>
      <c r="B51" s="2"/>
      <c r="C51" s="1"/>
      <c r="D51" s="2"/>
      <c r="E51" s="2"/>
      <c r="F51" s="2"/>
      <c r="G51" s="2"/>
      <c r="H51" s="2"/>
      <c r="I51" s="1"/>
      <c r="J51" s="2"/>
      <c r="K51" s="1"/>
      <c r="L51" s="1"/>
      <c r="M51" s="10"/>
      <c r="N51" s="2"/>
      <c r="O51" s="2"/>
      <c r="P51" s="2"/>
      <c r="Q51" s="2"/>
      <c r="R51" s="2"/>
      <c r="S51" s="1"/>
      <c r="T51" s="1"/>
      <c r="U51" s="1"/>
      <c r="V51" s="1"/>
      <c r="W51" s="1"/>
      <c r="X51" s="1"/>
    </row>
    <row r="52" spans="1:24" ht="16.5" x14ac:dyDescent="0.3">
      <c r="A52" s="1"/>
      <c r="B52" s="2"/>
      <c r="C52" s="1"/>
      <c r="D52" s="2"/>
      <c r="E52" s="2"/>
      <c r="F52" s="2"/>
      <c r="G52" s="2"/>
      <c r="H52" s="2"/>
      <c r="I52" s="1"/>
      <c r="J52" s="2"/>
      <c r="K52" s="1"/>
      <c r="L52" s="1"/>
      <c r="M52" s="10"/>
      <c r="N52" s="2"/>
      <c r="O52" s="2"/>
      <c r="S52" s="1"/>
      <c r="T52" s="1"/>
      <c r="U52" s="1"/>
      <c r="V52" s="1"/>
      <c r="W52" s="1"/>
      <c r="X52" s="1"/>
    </row>
    <row r="53" spans="1:24" ht="16.5" x14ac:dyDescent="0.3">
      <c r="A53" s="1"/>
      <c r="B53" s="2"/>
      <c r="C53" s="1"/>
      <c r="D53" s="2"/>
      <c r="E53" s="2"/>
      <c r="F53" s="2"/>
      <c r="G53" s="2"/>
      <c r="H53" s="2"/>
      <c r="I53" s="1"/>
      <c r="J53" s="2"/>
      <c r="K53" s="1"/>
      <c r="L53" s="1"/>
      <c r="M53" s="10"/>
      <c r="N53" s="2"/>
      <c r="O53" s="2"/>
      <c r="S53" s="1"/>
      <c r="T53" s="1"/>
      <c r="U53" s="1"/>
      <c r="V53" s="1"/>
      <c r="W53" s="1"/>
      <c r="X53" s="1"/>
    </row>
    <row r="54" spans="1:24" ht="16.5" x14ac:dyDescent="0.3">
      <c r="A54" s="1"/>
      <c r="B54" s="2"/>
      <c r="C54" s="1"/>
      <c r="D54" s="2"/>
      <c r="E54" s="2"/>
      <c r="F54" s="2"/>
      <c r="G54" s="2"/>
      <c r="H54" s="2"/>
      <c r="I54" s="1"/>
      <c r="J54" s="2"/>
      <c r="K54" s="1"/>
      <c r="L54" s="1"/>
      <c r="M54" s="10"/>
      <c r="N54" s="2"/>
      <c r="O54" s="2"/>
      <c r="S54" s="1"/>
      <c r="T54" s="1"/>
      <c r="U54" s="1"/>
      <c r="V54" s="1"/>
      <c r="W54" s="1"/>
      <c r="X54" s="1"/>
    </row>
    <row r="55" spans="1:24" ht="16.5" x14ac:dyDescent="0.3">
      <c r="A55" s="1"/>
      <c r="B55" s="2"/>
      <c r="C55" s="1"/>
      <c r="D55" s="2"/>
      <c r="E55" s="2"/>
      <c r="F55" s="2"/>
      <c r="G55" s="2"/>
      <c r="H55" s="2"/>
      <c r="I55" s="1"/>
      <c r="J55" s="2"/>
      <c r="K55" s="1"/>
      <c r="L55" s="1"/>
      <c r="M55" s="10"/>
      <c r="N55" s="2"/>
      <c r="O55" s="2"/>
      <c r="S55" s="1"/>
      <c r="T55" s="1"/>
      <c r="U55" s="1"/>
      <c r="V55" s="1"/>
      <c r="W55" s="1"/>
      <c r="X55" s="1"/>
    </row>
    <row r="56" spans="1:24" ht="16.5" x14ac:dyDescent="0.3">
      <c r="A56" s="1"/>
      <c r="B56" s="2"/>
      <c r="C56" s="1"/>
      <c r="D56" s="2"/>
      <c r="E56" s="2"/>
      <c r="F56" s="2"/>
      <c r="G56" s="2"/>
      <c r="H56" s="2"/>
      <c r="I56" s="1"/>
      <c r="J56" s="2"/>
      <c r="K56" s="1"/>
      <c r="L56" s="1"/>
      <c r="M56" s="10"/>
      <c r="N56" s="2"/>
      <c r="O56" s="2"/>
      <c r="S56" s="1"/>
      <c r="T56" s="1"/>
      <c r="U56" s="1"/>
      <c r="V56" s="1"/>
      <c r="W56" s="1"/>
      <c r="X56" s="1"/>
    </row>
    <row r="57" spans="1:24" ht="16.5" x14ac:dyDescent="0.3">
      <c r="A57" s="1"/>
      <c r="B57" s="2"/>
      <c r="C57" s="1"/>
      <c r="D57" s="2"/>
      <c r="E57" s="2"/>
      <c r="F57" s="2"/>
      <c r="G57" s="2"/>
      <c r="H57" s="2"/>
      <c r="I57" s="1"/>
      <c r="J57" s="2"/>
      <c r="K57" s="1"/>
      <c r="L57" s="1"/>
      <c r="M57" s="10"/>
      <c r="N57" s="2"/>
      <c r="O57" s="2"/>
      <c r="S57" s="1"/>
      <c r="T57" s="1"/>
      <c r="U57" s="1"/>
      <c r="V57" s="1"/>
      <c r="W57" s="1"/>
      <c r="X57" s="1"/>
    </row>
    <row r="58" spans="1:24" ht="16.5" x14ac:dyDescent="0.3">
      <c r="A58" s="1"/>
      <c r="B58" s="2"/>
      <c r="C58" s="1"/>
      <c r="D58" s="2"/>
      <c r="E58" s="2"/>
      <c r="F58" s="2"/>
      <c r="G58" s="2"/>
      <c r="H58" s="2"/>
      <c r="I58" s="1"/>
      <c r="J58" s="2"/>
      <c r="K58" s="1"/>
      <c r="L58" s="1"/>
      <c r="M58" s="10"/>
      <c r="N58" s="2"/>
      <c r="O58" s="2"/>
      <c r="S58" s="1"/>
      <c r="T58" s="1"/>
      <c r="U58" s="1"/>
      <c r="V58" s="1"/>
      <c r="W58" s="1"/>
      <c r="X58" s="1"/>
    </row>
    <row r="59" spans="1:24" ht="16.5" x14ac:dyDescent="0.3">
      <c r="S59" s="1"/>
      <c r="T59" s="1"/>
      <c r="U59" s="1"/>
      <c r="V59" s="1"/>
      <c r="W59" s="1"/>
      <c r="X59" s="1"/>
    </row>
    <row r="60" spans="1:24" ht="16.5" x14ac:dyDescent="0.3">
      <c r="S60" s="1"/>
      <c r="T60" s="1"/>
      <c r="U60" s="1"/>
      <c r="V60" s="1"/>
      <c r="W60" s="1"/>
      <c r="X60" s="1"/>
    </row>
    <row r="61" spans="1:24" ht="16.5" x14ac:dyDescent="0.3">
      <c r="S61" s="1"/>
      <c r="T61" s="1"/>
      <c r="U61" s="1"/>
      <c r="V61" s="1"/>
      <c r="W61" s="1"/>
      <c r="X61" s="1"/>
    </row>
    <row r="62" spans="1:24" ht="16.5" x14ac:dyDescent="0.3">
      <c r="A62" s="1"/>
      <c r="B62" s="1"/>
      <c r="C62" s="1"/>
      <c r="D62" s="1"/>
      <c r="E62" s="1"/>
      <c r="F62" s="1"/>
      <c r="G62" s="1"/>
      <c r="H62" s="1"/>
      <c r="I62" s="1"/>
      <c r="J62" s="1"/>
      <c r="K62" s="1"/>
      <c r="L62" s="1"/>
      <c r="M62" s="1"/>
      <c r="N62" s="1"/>
      <c r="O62" s="1"/>
      <c r="P62" s="1"/>
      <c r="Q62" s="1"/>
      <c r="R62" s="1"/>
      <c r="S62" s="1"/>
      <c r="T62" s="1"/>
      <c r="U62" s="1"/>
      <c r="V62" s="1"/>
      <c r="W62" s="1"/>
      <c r="X62" s="1"/>
    </row>
    <row r="63" spans="1:24" ht="16.5" x14ac:dyDescent="0.3">
      <c r="A63" s="1"/>
      <c r="B63" s="1"/>
      <c r="C63" s="1"/>
      <c r="D63" s="1"/>
      <c r="E63" s="1"/>
      <c r="F63" s="1"/>
      <c r="G63" s="1"/>
      <c r="H63" s="1"/>
      <c r="I63" s="1"/>
      <c r="J63" s="1"/>
      <c r="K63" s="1"/>
      <c r="L63" s="1"/>
      <c r="M63" s="1"/>
      <c r="N63" s="1"/>
      <c r="O63" s="1"/>
      <c r="P63" s="1"/>
      <c r="Q63" s="1"/>
      <c r="R63" s="1"/>
      <c r="S63" s="1"/>
      <c r="T63" s="1"/>
      <c r="U63" s="1"/>
      <c r="V63" s="1"/>
      <c r="W63" s="1"/>
      <c r="X63" s="1"/>
    </row>
    <row r="64" spans="1:24" ht="16.5" x14ac:dyDescent="0.3">
      <c r="A64" s="1"/>
      <c r="B64" s="1"/>
      <c r="C64" s="1"/>
      <c r="D64" s="1"/>
      <c r="E64" s="1"/>
      <c r="F64" s="1"/>
      <c r="G64" s="1"/>
      <c r="H64" s="1"/>
      <c r="I64" s="1"/>
      <c r="J64" s="1"/>
      <c r="K64" s="1"/>
      <c r="L64" s="1"/>
      <c r="M64" s="1"/>
      <c r="N64" s="1"/>
      <c r="O64" s="1"/>
      <c r="P64" s="1"/>
      <c r="Q64" s="1"/>
      <c r="R64" s="1"/>
      <c r="S64" s="1"/>
      <c r="T64" s="1"/>
      <c r="U64" s="1"/>
      <c r="V64" s="1"/>
      <c r="W64" s="1"/>
      <c r="X64" s="1"/>
    </row>
    <row r="65" spans="1:24" ht="16.5" x14ac:dyDescent="0.3">
      <c r="A65" s="1"/>
      <c r="B65" s="1"/>
      <c r="C65" s="1"/>
      <c r="D65" s="1"/>
      <c r="E65" s="1"/>
      <c r="F65" s="1"/>
      <c r="G65" s="1"/>
      <c r="H65" s="1"/>
      <c r="I65" s="1"/>
      <c r="J65" s="1"/>
      <c r="K65" s="1"/>
      <c r="L65" s="1"/>
      <c r="M65" s="1"/>
      <c r="N65" s="1"/>
      <c r="O65" s="1"/>
      <c r="P65" s="1"/>
      <c r="Q65" s="1"/>
      <c r="R65" s="1"/>
      <c r="S65" s="1"/>
      <c r="T65" s="1"/>
      <c r="U65" s="1"/>
      <c r="V65" s="1"/>
      <c r="W65" s="1"/>
      <c r="X65" s="1"/>
    </row>
    <row r="66" spans="1:24" ht="16.5" x14ac:dyDescent="0.3">
      <c r="A66" s="1"/>
      <c r="B66" s="1"/>
      <c r="C66" s="1"/>
      <c r="D66" s="1"/>
      <c r="E66" s="1"/>
      <c r="F66" s="1"/>
      <c r="G66" s="1"/>
      <c r="H66" s="1"/>
      <c r="I66" s="1"/>
      <c r="J66" s="1"/>
      <c r="K66" s="1"/>
      <c r="L66" s="1"/>
      <c r="M66" s="1"/>
      <c r="N66" s="1"/>
      <c r="O66" s="1"/>
      <c r="P66" s="1"/>
      <c r="Q66" s="1"/>
      <c r="R66" s="1"/>
      <c r="S66" s="1"/>
      <c r="T66" s="1"/>
      <c r="U66" s="1"/>
      <c r="V66" s="1"/>
      <c r="W66" s="1"/>
      <c r="X66" s="1"/>
    </row>
    <row r="67" spans="1:24" ht="16.5" x14ac:dyDescent="0.3">
      <c r="A67" s="1"/>
      <c r="B67" s="1"/>
      <c r="C67" s="1"/>
      <c r="D67" s="1"/>
      <c r="E67" s="1"/>
      <c r="F67" s="1"/>
      <c r="G67" s="1"/>
      <c r="H67" s="1"/>
      <c r="I67" s="1"/>
      <c r="J67" s="1"/>
      <c r="K67" s="1"/>
      <c r="L67" s="1"/>
      <c r="M67" s="1"/>
      <c r="N67" s="1"/>
      <c r="O67" s="1"/>
      <c r="P67" s="1"/>
      <c r="Q67" s="1"/>
      <c r="R67" s="1"/>
      <c r="S67" s="1"/>
      <c r="T67" s="1"/>
      <c r="U67" s="1"/>
      <c r="V67" s="1"/>
      <c r="W67" s="1"/>
      <c r="X67" s="1"/>
    </row>
    <row r="68" spans="1:24" ht="18" x14ac:dyDescent="0.35">
      <c r="A68" s="1" t="s">
        <v>14</v>
      </c>
      <c r="B68" s="9">
        <f>F68*B2*B6*SQRT(2*F7*C72)</f>
        <v>2.3999997641585251</v>
      </c>
      <c r="C68" s="1" t="s">
        <v>11</v>
      </c>
      <c r="D68" s="1"/>
      <c r="E68" s="1" t="s">
        <v>38</v>
      </c>
      <c r="F68" s="2">
        <f>B7/SQRT(1+B7*(B39/C72))</f>
        <v>0.55490841199791996</v>
      </c>
      <c r="G68" s="1"/>
      <c r="H68" s="1"/>
      <c r="I68" s="1"/>
      <c r="J68" s="1"/>
      <c r="K68" s="1"/>
      <c r="L68" s="1"/>
      <c r="M68" s="1"/>
      <c r="N68" s="1"/>
      <c r="O68" s="1"/>
      <c r="P68" s="1"/>
      <c r="Q68" s="1"/>
      <c r="R68" s="1"/>
      <c r="S68" s="1"/>
      <c r="T68" s="1"/>
      <c r="U68" s="1"/>
      <c r="V68" s="1"/>
      <c r="W68" s="1"/>
      <c r="X68" s="1"/>
    </row>
    <row r="69" spans="1:24" ht="16.5" x14ac:dyDescent="0.3">
      <c r="A69" s="1"/>
      <c r="B69" s="1"/>
      <c r="C69" s="1"/>
      <c r="D69" s="1"/>
      <c r="E69" s="1"/>
      <c r="F69" s="1"/>
      <c r="G69" s="1"/>
      <c r="H69" s="1"/>
      <c r="I69" s="1"/>
      <c r="J69" s="1"/>
      <c r="K69" s="1"/>
      <c r="L69" s="1"/>
      <c r="M69" s="1"/>
      <c r="N69" s="1"/>
      <c r="O69" s="1"/>
      <c r="P69" s="1"/>
      <c r="Q69" s="1"/>
      <c r="R69" s="1"/>
    </row>
    <row r="70" spans="1:24" ht="18.75" x14ac:dyDescent="0.35">
      <c r="A70" s="1" t="s">
        <v>20</v>
      </c>
      <c r="B70" s="1" t="s">
        <v>21</v>
      </c>
      <c r="C70" s="1" t="s">
        <v>22</v>
      </c>
      <c r="D70" s="1" t="s">
        <v>23</v>
      </c>
      <c r="E70" s="1" t="s">
        <v>24</v>
      </c>
      <c r="F70" s="1" t="s">
        <v>25</v>
      </c>
      <c r="G70" s="1" t="s">
        <v>26</v>
      </c>
      <c r="H70" s="1" t="s">
        <v>27</v>
      </c>
      <c r="I70" s="1" t="s">
        <v>28</v>
      </c>
      <c r="J70" s="1" t="s">
        <v>29</v>
      </c>
      <c r="K70" s="1" t="s">
        <v>30</v>
      </c>
      <c r="L70" s="1" t="s">
        <v>31</v>
      </c>
      <c r="M70" s="1" t="s">
        <v>32</v>
      </c>
      <c r="N70" s="1" t="s">
        <v>33</v>
      </c>
      <c r="O70" s="1" t="s">
        <v>34</v>
      </c>
      <c r="P70" s="1" t="s">
        <v>35</v>
      </c>
      <c r="Q70" s="1" t="s">
        <v>36</v>
      </c>
      <c r="R70" s="1" t="s">
        <v>37</v>
      </c>
    </row>
    <row r="71" spans="1:24" ht="18" x14ac:dyDescent="0.3">
      <c r="A71" s="1" t="s">
        <v>0</v>
      </c>
      <c r="B71" s="1" t="s">
        <v>0</v>
      </c>
      <c r="C71" s="1" t="s">
        <v>0</v>
      </c>
      <c r="D71" s="1" t="s">
        <v>44</v>
      </c>
      <c r="E71" s="1" t="s">
        <v>0</v>
      </c>
      <c r="F71" s="1" t="s">
        <v>43</v>
      </c>
      <c r="G71" s="1" t="s">
        <v>0</v>
      </c>
      <c r="H71" s="1" t="s">
        <v>0</v>
      </c>
      <c r="I71" s="1" t="s">
        <v>42</v>
      </c>
      <c r="J71" s="1" t="s">
        <v>0</v>
      </c>
      <c r="K71" s="1"/>
      <c r="L71" s="1" t="s">
        <v>0</v>
      </c>
      <c r="M71" s="1" t="s">
        <v>0</v>
      </c>
      <c r="N71" s="1"/>
      <c r="O71" s="1" t="s">
        <v>41</v>
      </c>
      <c r="P71" s="1" t="s">
        <v>0</v>
      </c>
      <c r="Q71" s="1" t="s">
        <v>0</v>
      </c>
      <c r="R71" s="1" t="s">
        <v>0</v>
      </c>
    </row>
    <row r="72" spans="1:24" ht="16.5" x14ac:dyDescent="0.3">
      <c r="A72" s="1">
        <v>150</v>
      </c>
      <c r="B72" s="1">
        <v>0.22500000000000001</v>
      </c>
      <c r="C72" s="7">
        <v>1.2771834822007495</v>
      </c>
      <c r="D72" s="1">
        <f>$B$2*C72</f>
        <v>3.0652403572817986</v>
      </c>
      <c r="E72" s="1">
        <f>$B$2+2*C72</f>
        <v>4.9543669644014994</v>
      </c>
      <c r="F72" s="1">
        <f>$B$5/D72</f>
        <v>0.7829728570219785</v>
      </c>
      <c r="G72" s="1">
        <f>(F72)^2/(2*$F$7)</f>
        <v>3.1245998717286418E-2</v>
      </c>
      <c r="H72" s="1">
        <f>D72/E72</f>
        <v>0.61869465449499417</v>
      </c>
      <c r="I72" s="1">
        <f>($F$8/$B$4)*D72*H72^(2/3)</f>
        <v>148.37390207909075</v>
      </c>
      <c r="J72" s="1">
        <f>B72+C72+G72</f>
        <v>1.533429480918036</v>
      </c>
      <c r="K72" s="1"/>
      <c r="L72" s="1"/>
      <c r="M72" s="1"/>
      <c r="N72" s="1">
        <f>($B$5^2/($F$7*(D72^3/$B$2)))</f>
        <v>4.8929537772357645E-2</v>
      </c>
      <c r="O72" s="1">
        <f>$B$2*C72^2/2+$B$5^2/($F$7*D72)</f>
        <v>2.1489901691913218</v>
      </c>
      <c r="P72" s="1">
        <f t="shared" ref="P72:P77" si="39">C72+B72</f>
        <v>1.5021834822007496</v>
      </c>
      <c r="Q72" s="1">
        <f t="shared" ref="Q72:Q77" si="40">$F$4+B72</f>
        <v>2.6255679282845099</v>
      </c>
      <c r="R72" s="1">
        <f t="shared" ref="R72:R77" si="41">$F$5+B72</f>
        <v>0.22500000000000001</v>
      </c>
    </row>
    <row r="73" spans="1:24" ht="16.5" x14ac:dyDescent="0.3">
      <c r="A73" s="1">
        <v>160</v>
      </c>
      <c r="B73" s="1">
        <f t="shared" ref="B73:B77" si="42">A73*$B$3</f>
        <v>0.24</v>
      </c>
      <c r="C73" s="7">
        <v>1.2641898406512249</v>
      </c>
      <c r="D73" s="1">
        <f t="shared" ref="D73:D77" si="43">$B$2*C73</f>
        <v>3.0340556175629394</v>
      </c>
      <c r="E73" s="1">
        <f t="shared" ref="E73:E77" si="44">$B$2+2*C73</f>
        <v>4.9283796813024496</v>
      </c>
      <c r="F73" s="1">
        <f t="shared" ref="F73:F77" si="45">$B$5/D73</f>
        <v>0.79102043683950807</v>
      </c>
      <c r="G73" s="1">
        <f t="shared" ref="G73:G77" si="46">(F73)^2/(2*$F$7)</f>
        <v>3.189160710997789E-2</v>
      </c>
      <c r="H73" s="1">
        <f t="shared" ref="H73:H77" si="47">D73/E73</f>
        <v>0.61562943883437027</v>
      </c>
      <c r="I73" s="1">
        <f t="shared" ref="I73:I77" si="48">($F$8/$B$4)*D73*H73^(2/3)</f>
        <v>146.37891757781304</v>
      </c>
      <c r="J73" s="1">
        <f t="shared" ref="J73:J77" si="49">B73+C73+G73</f>
        <v>1.5360814477612028</v>
      </c>
      <c r="K73" s="1">
        <f>($B$5)^2/((I72+I73)/2)^2</f>
        <v>2.6519573673338266E-4</v>
      </c>
      <c r="L73" s="1">
        <f t="shared" ref="L73:L77" si="50">K73*(A73-A72)</f>
        <v>2.6519573673338265E-3</v>
      </c>
      <c r="M73" s="8">
        <f t="shared" ref="M73:M77" si="51">J73-(J72+L73)</f>
        <v>9.4758330071442742E-9</v>
      </c>
      <c r="N73" s="1">
        <f t="shared" ref="N73:N77" si="52">($B$5^2/($F$7*(D73^3/$B$2)))</f>
        <v>5.0453825975297344E-2</v>
      </c>
      <c r="O73" s="1">
        <f t="shared" ref="O73:O77" si="53">$B$2*C73^2/2+$B$5^2/($F$7*D73)</f>
        <v>2.1113329632572002</v>
      </c>
      <c r="P73" s="1">
        <f t="shared" si="39"/>
        <v>1.5041898406512249</v>
      </c>
      <c r="Q73" s="1">
        <f t="shared" si="40"/>
        <v>2.6405679282845096</v>
      </c>
      <c r="R73" s="1">
        <f t="shared" si="41"/>
        <v>0.24</v>
      </c>
    </row>
    <row r="74" spans="1:24" ht="16.5" x14ac:dyDescent="0.3">
      <c r="A74" s="1">
        <v>170</v>
      </c>
      <c r="B74" s="1">
        <f t="shared" si="42"/>
        <v>0.255</v>
      </c>
      <c r="C74" s="7">
        <v>1.2512519255354335</v>
      </c>
      <c r="D74" s="1">
        <f t="shared" si="43"/>
        <v>3.0030046212850405</v>
      </c>
      <c r="E74" s="1">
        <f t="shared" si="44"/>
        <v>4.9025038510708665</v>
      </c>
      <c r="F74" s="1">
        <f t="shared" si="45"/>
        <v>0.79919956932100755</v>
      </c>
      <c r="G74" s="1">
        <f t="shared" si="46"/>
        <v>3.2554533720840162E-2</v>
      </c>
      <c r="H74" s="1">
        <f t="shared" si="47"/>
        <v>0.61254508155645537</v>
      </c>
      <c r="I74" s="1">
        <f t="shared" si="48"/>
        <v>144.39653754470348</v>
      </c>
      <c r="J74" s="1">
        <f t="shared" si="49"/>
        <v>1.5388064592562736</v>
      </c>
      <c r="K74" s="1">
        <f t="shared" ref="K74:K77" si="54">($B$5)^2/((I73+I74)/2)^2</f>
        <v>2.7250030106652827E-4</v>
      </c>
      <c r="L74" s="1">
        <f t="shared" si="50"/>
        <v>2.7250030106652826E-3</v>
      </c>
      <c r="M74" s="8">
        <f t="shared" si="51"/>
        <v>8.4844054004662439E-9</v>
      </c>
      <c r="N74" s="1">
        <f t="shared" si="52"/>
        <v>5.2035138658283353E-2</v>
      </c>
      <c r="O74" s="1">
        <f t="shared" si="53"/>
        <v>2.0742804878022811</v>
      </c>
      <c r="P74" s="1">
        <f t="shared" si="39"/>
        <v>1.5062519255354334</v>
      </c>
      <c r="Q74" s="1">
        <f t="shared" si="40"/>
        <v>2.6555679282845097</v>
      </c>
      <c r="R74" s="1">
        <f t="shared" si="41"/>
        <v>0.255</v>
      </c>
    </row>
    <row r="75" spans="1:24" ht="16.5" x14ac:dyDescent="0.3">
      <c r="A75" s="1">
        <v>180</v>
      </c>
      <c r="B75" s="1">
        <f t="shared" si="42"/>
        <v>0.27</v>
      </c>
      <c r="C75" s="7">
        <v>1.2383718332592395</v>
      </c>
      <c r="D75" s="1">
        <f t="shared" si="43"/>
        <v>2.9720923998221749</v>
      </c>
      <c r="E75" s="1">
        <f t="shared" si="44"/>
        <v>4.8767436665184789</v>
      </c>
      <c r="F75" s="1">
        <f t="shared" si="45"/>
        <v>0.80751190647491167</v>
      </c>
      <c r="G75" s="1">
        <f t="shared" si="46"/>
        <v>3.32352435830146E-2</v>
      </c>
      <c r="H75" s="1">
        <f t="shared" si="47"/>
        <v>0.60944199717266667</v>
      </c>
      <c r="I75" s="1">
        <f t="shared" si="48"/>
        <v>142.42710071834966</v>
      </c>
      <c r="J75" s="1">
        <f t="shared" si="49"/>
        <v>1.5416070768422541</v>
      </c>
      <c r="K75" s="1">
        <f t="shared" si="54"/>
        <v>2.8006097342368709E-4</v>
      </c>
      <c r="L75" s="1">
        <f t="shared" si="50"/>
        <v>2.8006097342368709E-3</v>
      </c>
      <c r="M75" s="8">
        <f t="shared" si="51"/>
        <v>7.8517436996605738E-9</v>
      </c>
      <c r="N75" s="1">
        <f t="shared" si="52"/>
        <v>5.3675709815756388E-2</v>
      </c>
      <c r="O75" s="1">
        <f t="shared" si="53"/>
        <v>2.0378341866104521</v>
      </c>
      <c r="P75" s="1">
        <f t="shared" si="39"/>
        <v>1.5083718332592395</v>
      </c>
      <c r="Q75" s="1">
        <f t="shared" si="40"/>
        <v>2.6705679282845098</v>
      </c>
      <c r="R75" s="1">
        <f t="shared" si="41"/>
        <v>0.27</v>
      </c>
    </row>
    <row r="76" spans="1:24" ht="16.5" x14ac:dyDescent="0.3">
      <c r="A76" s="1">
        <v>190</v>
      </c>
      <c r="B76" s="1">
        <f t="shared" si="42"/>
        <v>0.28500000000000003</v>
      </c>
      <c r="C76" s="7">
        <v>1.2255517518891121</v>
      </c>
      <c r="D76" s="1">
        <f t="shared" si="43"/>
        <v>2.9413242045338692</v>
      </c>
      <c r="E76" s="1">
        <f t="shared" si="44"/>
        <v>4.8511035037782246</v>
      </c>
      <c r="F76" s="1">
        <f t="shared" si="45"/>
        <v>0.81595901475279342</v>
      </c>
      <c r="G76" s="1">
        <f t="shared" si="46"/>
        <v>3.3934205594105468E-2</v>
      </c>
      <c r="H76" s="1">
        <f t="shared" si="47"/>
        <v>0.60632064482711068</v>
      </c>
      <c r="I76" s="1">
        <f t="shared" si="48"/>
        <v>140.47095717185894</v>
      </c>
      <c r="J76" s="1">
        <f t="shared" si="49"/>
        <v>1.5444859574832177</v>
      </c>
      <c r="K76" s="1">
        <f t="shared" si="54"/>
        <v>2.8788732393124084E-4</v>
      </c>
      <c r="L76" s="1">
        <f t="shared" si="50"/>
        <v>2.8788732393124085E-3</v>
      </c>
      <c r="M76" s="8">
        <f t="shared" si="51"/>
        <v>7.4016512918717581E-9</v>
      </c>
      <c r="N76" s="1">
        <f t="shared" si="52"/>
        <v>5.5377841925970075E-2</v>
      </c>
      <c r="O76" s="1">
        <f t="shared" si="53"/>
        <v>2.0019955164213084</v>
      </c>
      <c r="P76" s="1">
        <f t="shared" si="39"/>
        <v>1.5105517518891123</v>
      </c>
      <c r="Q76" s="1">
        <f t="shared" si="40"/>
        <v>2.68556792828451</v>
      </c>
      <c r="R76" s="1">
        <f t="shared" si="41"/>
        <v>0.28500000000000003</v>
      </c>
    </row>
    <row r="77" spans="1:24" ht="16.5" x14ac:dyDescent="0.3">
      <c r="A77" s="1">
        <v>200</v>
      </c>
      <c r="B77" s="1">
        <f t="shared" si="42"/>
        <v>0.3</v>
      </c>
      <c r="C77" s="7">
        <v>1.212793965275015</v>
      </c>
      <c r="D77" s="1">
        <f t="shared" si="43"/>
        <v>2.9107055166600362</v>
      </c>
      <c r="E77" s="1">
        <f t="shared" si="44"/>
        <v>4.8255879305500304</v>
      </c>
      <c r="F77" s="1">
        <f t="shared" si="45"/>
        <v>0.82454236138389625</v>
      </c>
      <c r="G77" s="1">
        <f t="shared" si="46"/>
        <v>3.4651891218987346E-2</v>
      </c>
      <c r="H77" s="1">
        <f t="shared" si="47"/>
        <v>0.60318153115246786</v>
      </c>
      <c r="I77" s="1">
        <f t="shared" si="48"/>
        <v>138.52846869977643</v>
      </c>
      <c r="J77" s="1">
        <f t="shared" si="49"/>
        <v>1.5474458564940023</v>
      </c>
      <c r="K77" s="1">
        <f t="shared" si="54"/>
        <v>2.9598919366496072E-4</v>
      </c>
      <c r="L77" s="1">
        <f t="shared" si="50"/>
        <v>2.9598919366496074E-3</v>
      </c>
      <c r="M77" s="8">
        <f t="shared" si="51"/>
        <v>7.074135055518127E-9</v>
      </c>
      <c r="N77" s="1">
        <f t="shared" si="52"/>
        <v>5.7143904424243441E-2</v>
      </c>
      <c r="O77" s="1">
        <f t="shared" si="53"/>
        <v>1.966765944516613</v>
      </c>
      <c r="P77" s="1">
        <f t="shared" si="39"/>
        <v>1.5127939652750151</v>
      </c>
      <c r="Q77" s="1">
        <f t="shared" si="40"/>
        <v>2.7005679282845096</v>
      </c>
      <c r="R77" s="1">
        <f t="shared" si="41"/>
        <v>0.3</v>
      </c>
    </row>
    <row r="78" spans="1:24" ht="16.5" x14ac:dyDescent="0.3">
      <c r="A78" s="1"/>
      <c r="B78" s="1"/>
      <c r="C78" s="2"/>
      <c r="D78" s="2"/>
      <c r="E78" s="2"/>
      <c r="F78" s="2"/>
      <c r="G78" s="2"/>
      <c r="H78" s="2"/>
      <c r="I78" s="1"/>
      <c r="J78" s="2"/>
      <c r="K78" s="4"/>
      <c r="L78" s="4"/>
      <c r="M78" s="4"/>
      <c r="N78" s="2"/>
      <c r="O78" s="2"/>
      <c r="P78" s="2"/>
      <c r="Q78" s="2"/>
      <c r="R78" s="2"/>
    </row>
  </sheetData>
  <pageMargins left="0.7" right="0.7" top="0.75" bottom="0.75" header="0.3" footer="0.3"/>
  <drawing r:id="rId1"/>
  <legacyDrawing r:id="rId2"/>
  <oleObjects>
    <mc:AlternateContent xmlns:mc="http://schemas.openxmlformats.org/markup-compatibility/2006">
      <mc:Choice Requires="x14">
        <oleObject progId="Equation.DSMT4" shapeId="1025" r:id="rId3">
          <objectPr defaultSize="0" autoPict="0" r:id="rId4">
            <anchor moveWithCells="1">
              <from>
                <xdr:col>16</xdr:col>
                <xdr:colOff>295275</xdr:colOff>
                <xdr:row>6</xdr:row>
                <xdr:rowOff>209550</xdr:rowOff>
              </from>
              <to>
                <xdr:col>19</xdr:col>
                <xdr:colOff>161925</xdr:colOff>
                <xdr:row>10</xdr:row>
                <xdr:rowOff>123825</xdr:rowOff>
              </to>
            </anchor>
          </objectPr>
        </oleObject>
      </mc:Choice>
      <mc:Fallback>
        <oleObject progId="Equation.DSMT4" shapeId="1025" r:id="rId3"/>
      </mc:Fallback>
    </mc:AlternateContent>
    <mc:AlternateContent xmlns:mc="http://schemas.openxmlformats.org/markup-compatibility/2006">
      <mc:Choice Requires="x14">
        <oleObject progId="Equation.DSMT4" shapeId="1026" r:id="rId5">
          <objectPr defaultSize="0" autoPict="0" r:id="rId6">
            <anchor moveWithCells="1">
              <from>
                <xdr:col>7</xdr:col>
                <xdr:colOff>619125</xdr:colOff>
                <xdr:row>65</xdr:row>
                <xdr:rowOff>209550</xdr:rowOff>
              </from>
              <to>
                <xdr:col>14</xdr:col>
                <xdr:colOff>400050</xdr:colOff>
                <xdr:row>67</xdr:row>
                <xdr:rowOff>200025</xdr:rowOff>
              </to>
            </anchor>
          </objectPr>
        </oleObject>
      </mc:Choice>
      <mc:Fallback>
        <oleObject progId="Equation.DSMT4" shapeId="1026"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96AE-7C36-447E-88CE-C3E59080D81D}">
  <dimension ref="A1:Z106"/>
  <sheetViews>
    <sheetView topLeftCell="A60" workbookViewId="0">
      <selection activeCell="O86" sqref="O86"/>
    </sheetView>
  </sheetViews>
  <sheetFormatPr defaultRowHeight="15" x14ac:dyDescent="0.25"/>
  <cols>
    <col min="7" max="7" width="19" bestFit="1" customWidth="1"/>
    <col min="8" max="8" width="16.5703125" bestFit="1" customWidth="1"/>
    <col min="11" max="11" width="15" bestFit="1" customWidth="1"/>
  </cols>
  <sheetData>
    <row r="1" spans="1:26" x14ac:dyDescent="0.25">
      <c r="A1" t="s">
        <v>69</v>
      </c>
      <c r="D1" t="s">
        <v>71</v>
      </c>
      <c r="G1" t="s">
        <v>72</v>
      </c>
    </row>
    <row r="2" spans="1:26" x14ac:dyDescent="0.25">
      <c r="A2" t="s">
        <v>1</v>
      </c>
      <c r="B2">
        <v>110</v>
      </c>
      <c r="D2" t="s">
        <v>1</v>
      </c>
      <c r="E2">
        <v>95</v>
      </c>
      <c r="G2" t="s">
        <v>1</v>
      </c>
      <c r="H2">
        <v>55</v>
      </c>
      <c r="J2" t="s">
        <v>73</v>
      </c>
      <c r="N2" t="s">
        <v>74</v>
      </c>
      <c r="Q2" t="s">
        <v>75</v>
      </c>
    </row>
    <row r="3" spans="1:26" ht="16.5" x14ac:dyDescent="0.3">
      <c r="A3" t="s">
        <v>70</v>
      </c>
      <c r="B3">
        <v>4.0000000000000002E-4</v>
      </c>
      <c r="D3" t="s">
        <v>70</v>
      </c>
      <c r="E3">
        <v>5.0000000000000001E-4</v>
      </c>
      <c r="G3" t="s">
        <v>70</v>
      </c>
      <c r="H3">
        <v>7.5000000000000002E-4</v>
      </c>
      <c r="J3" s="1" t="s">
        <v>3</v>
      </c>
      <c r="K3" s="2">
        <f>((B5/B2)^2/K8)^(1/3)</f>
        <v>2.3159794767993214</v>
      </c>
      <c r="N3" s="1" t="s">
        <v>3</v>
      </c>
      <c r="O3" s="2">
        <f>((E5/E2)^2/O8)^(1/3)</f>
        <v>1.4086354741503979</v>
      </c>
      <c r="Q3" s="1" t="s">
        <v>3</v>
      </c>
      <c r="R3" s="2">
        <f>((H5/H2)^2/R8)^(1/3)</f>
        <v>2.5871484511221423</v>
      </c>
    </row>
    <row r="4" spans="1:26" ht="16.5" x14ac:dyDescent="0.3">
      <c r="A4" t="s">
        <v>9</v>
      </c>
      <c r="B4">
        <v>0.04</v>
      </c>
      <c r="D4" t="s">
        <v>9</v>
      </c>
      <c r="E4">
        <v>4.4999999999999998E-2</v>
      </c>
      <c r="G4" t="s">
        <v>9</v>
      </c>
      <c r="H4">
        <v>0.02</v>
      </c>
      <c r="J4" s="1" t="s">
        <v>6</v>
      </c>
      <c r="K4" s="2">
        <v>7.5911855862042437</v>
      </c>
      <c r="N4" s="1" t="s">
        <v>6</v>
      </c>
      <c r="O4" s="3">
        <v>4.8069749841041647</v>
      </c>
      <c r="Q4" s="1" t="s">
        <v>6</v>
      </c>
      <c r="R4" s="3">
        <v>4.6306717012718508</v>
      </c>
    </row>
    <row r="5" spans="1:26" ht="18" x14ac:dyDescent="0.35">
      <c r="A5" t="s">
        <v>14</v>
      </c>
      <c r="B5">
        <v>2200</v>
      </c>
      <c r="D5" t="s">
        <v>116</v>
      </c>
      <c r="E5" s="11">
        <f>B5-H5</f>
        <v>901.25870590126897</v>
      </c>
      <c r="G5" t="s">
        <v>117</v>
      </c>
      <c r="H5" s="11">
        <f>J92</f>
        <v>1298.741294098731</v>
      </c>
      <c r="J5" s="1" t="s">
        <v>10</v>
      </c>
      <c r="K5" s="5">
        <f>(K9/B4)*(B2*K4)*((B2*K4)/(B2+2*K4))^(2/3)*B3^(1/2)</f>
        <v>2199.9999996057586</v>
      </c>
      <c r="N5" s="1" t="s">
        <v>10</v>
      </c>
      <c r="O5" s="5">
        <f>(O9/E4)*(E2*O4)*((E2*O4)/(E2+2*O4))^(2/3)*E3^(1/2)</f>
        <v>901.25876677288863</v>
      </c>
      <c r="Q5" s="1" t="s">
        <v>10</v>
      </c>
      <c r="R5" s="5">
        <f>(R9/H4)*(H2*R4)*((H2*R4)/(H2+2*R4))^(2/3)*H3^(1/2)</f>
        <v>1298.741964789529</v>
      </c>
    </row>
    <row r="6" spans="1:26" ht="16.5" x14ac:dyDescent="0.3">
      <c r="J6" s="1"/>
      <c r="K6" s="1"/>
      <c r="N6" s="1"/>
      <c r="O6" s="1"/>
      <c r="Q6" s="1"/>
      <c r="R6" s="1"/>
    </row>
    <row r="7" spans="1:26" ht="16.5" x14ac:dyDescent="0.3">
      <c r="J7" s="1" t="s">
        <v>16</v>
      </c>
      <c r="K7" s="1"/>
      <c r="N7" s="1" t="s">
        <v>16</v>
      </c>
      <c r="O7" s="1"/>
      <c r="Q7" s="1" t="s">
        <v>16</v>
      </c>
      <c r="R7" s="1"/>
    </row>
    <row r="8" spans="1:26" ht="16.5" x14ac:dyDescent="0.3">
      <c r="E8" t="s">
        <v>118</v>
      </c>
      <c r="F8" t="s">
        <v>119</v>
      </c>
      <c r="J8" s="1" t="s">
        <v>18</v>
      </c>
      <c r="K8" s="1">
        <v>32.200000000000003</v>
      </c>
      <c r="N8" s="1" t="s">
        <v>18</v>
      </c>
      <c r="O8" s="1">
        <v>32.200000000000003</v>
      </c>
      <c r="Q8" s="1" t="s">
        <v>18</v>
      </c>
      <c r="R8" s="1">
        <v>32.200000000000003</v>
      </c>
    </row>
    <row r="9" spans="1:26" ht="18" x14ac:dyDescent="0.35">
      <c r="J9" s="1" t="s">
        <v>19</v>
      </c>
      <c r="K9" s="1">
        <v>1.4870000000000001</v>
      </c>
      <c r="N9" s="1" t="s">
        <v>19</v>
      </c>
      <c r="O9" s="1">
        <v>1.4870000000000001</v>
      </c>
      <c r="Q9" s="1" t="s">
        <v>19</v>
      </c>
      <c r="R9" s="1">
        <v>1.4870000000000001</v>
      </c>
    </row>
    <row r="11" spans="1:26" x14ac:dyDescent="0.25">
      <c r="A11" t="s">
        <v>49</v>
      </c>
      <c r="T11" t="s">
        <v>50</v>
      </c>
      <c r="U11" t="s">
        <v>21</v>
      </c>
      <c r="V11" t="s">
        <v>29</v>
      </c>
      <c r="W11" t="s">
        <v>122</v>
      </c>
      <c r="X11" t="s">
        <v>123</v>
      </c>
      <c r="Y11" t="s">
        <v>124</v>
      </c>
      <c r="Z11" t="s">
        <v>35</v>
      </c>
    </row>
    <row r="12" spans="1:26" x14ac:dyDescent="0.25">
      <c r="A12" t="s">
        <v>50</v>
      </c>
      <c r="B12" t="s">
        <v>51</v>
      </c>
      <c r="C12" t="s">
        <v>52</v>
      </c>
      <c r="D12" t="s">
        <v>53</v>
      </c>
      <c r="E12" t="s">
        <v>54</v>
      </c>
      <c r="F12" t="s">
        <v>55</v>
      </c>
      <c r="G12" t="s">
        <v>56</v>
      </c>
      <c r="H12" t="s">
        <v>57</v>
      </c>
      <c r="I12" t="s">
        <v>58</v>
      </c>
      <c r="J12" t="s">
        <v>59</v>
      </c>
      <c r="K12" t="s">
        <v>60</v>
      </c>
      <c r="L12" t="s">
        <v>61</v>
      </c>
      <c r="M12" t="s">
        <v>62</v>
      </c>
      <c r="N12" t="s">
        <v>63</v>
      </c>
      <c r="T12">
        <v>0</v>
      </c>
      <c r="U12">
        <v>0</v>
      </c>
      <c r="V12">
        <v>6.4564923185745426</v>
      </c>
      <c r="Z12">
        <v>6.3</v>
      </c>
    </row>
    <row r="13" spans="1:26" x14ac:dyDescent="0.25">
      <c r="A13">
        <v>0</v>
      </c>
      <c r="B13">
        <v>0</v>
      </c>
      <c r="C13">
        <v>6.3</v>
      </c>
      <c r="D13">
        <f>B13+C13</f>
        <v>6.3</v>
      </c>
      <c r="E13">
        <f>$B$2*C13</f>
        <v>693</v>
      </c>
      <c r="F13">
        <f>E13/($B$2+2*C13)</f>
        <v>5.6525285481239811</v>
      </c>
      <c r="G13">
        <f>($B$5/E13)^2/(2*$K$8)</f>
        <v>0.15649231857454274</v>
      </c>
      <c r="H13">
        <f>D13+G13</f>
        <v>6.4564923185745426</v>
      </c>
      <c r="I13">
        <f>($K$9/$B$4)*E13*((F13)^0.667)</f>
        <v>81795.636391427732</v>
      </c>
      <c r="M13" s="20">
        <f>B13+$K$3</f>
        <v>2.3159794767993214</v>
      </c>
      <c r="N13" s="20">
        <f>B13+$K$4</f>
        <v>7.5911855862042437</v>
      </c>
      <c r="T13">
        <v>25</v>
      </c>
      <c r="U13">
        <v>0.01</v>
      </c>
      <c r="V13">
        <v>6.4745387923017095</v>
      </c>
      <c r="Z13">
        <v>6.3184662305971111</v>
      </c>
    </row>
    <row r="14" spans="1:26" ht="16.5" x14ac:dyDescent="0.3">
      <c r="A14">
        <v>25</v>
      </c>
      <c r="B14">
        <f>$B$3*A14</f>
        <v>0.01</v>
      </c>
      <c r="C14" s="11">
        <v>6.3084662305971095</v>
      </c>
      <c r="D14">
        <f t="shared" ref="D14:D23" si="0">B14+C14</f>
        <v>6.3184662305971093</v>
      </c>
      <c r="E14">
        <f t="shared" ref="E14:E23" si="1">$B$2*C14</f>
        <v>693.93128536568202</v>
      </c>
      <c r="F14">
        <f t="shared" ref="F14:F23" si="2">E14/($B$2+2*C14)</f>
        <v>5.6593430567617338</v>
      </c>
      <c r="G14">
        <f t="shared" ref="G14:G23" si="3">($B$5/E14)^2/(2*$K$8)</f>
        <v>0.15607256170459849</v>
      </c>
      <c r="H14">
        <f t="shared" ref="H14:H23" si="4">D14+G14</f>
        <v>6.4745387923017077</v>
      </c>
      <c r="I14">
        <f t="shared" ref="I14:I23" si="5">($K$9/$B$4)*E14*((F14)^0.667)</f>
        <v>81971.405331488451</v>
      </c>
      <c r="J14">
        <f>($B$5^2)/((I13+I14)/2)^2</f>
        <v>7.2185894908664676E-4</v>
      </c>
      <c r="K14" s="1">
        <f>J14*(A14-A13)</f>
        <v>1.8046473727166168E-2</v>
      </c>
      <c r="L14" s="12">
        <f>H14-(H13+K14)</f>
        <v>0</v>
      </c>
      <c r="M14" s="20">
        <f t="shared" ref="M14:M23" si="6">B14+$K$3</f>
        <v>2.3259794767993212</v>
      </c>
      <c r="N14" s="20">
        <f t="shared" ref="N14:N23" si="7">B14+$K$4</f>
        <v>7.6011855862042434</v>
      </c>
      <c r="T14">
        <v>50</v>
      </c>
      <c r="U14">
        <v>0.02</v>
      </c>
      <c r="V14">
        <v>6.4925083858371462</v>
      </c>
      <c r="Z14">
        <v>6.3368498217122742</v>
      </c>
    </row>
    <row r="15" spans="1:26" ht="16.5" x14ac:dyDescent="0.3">
      <c r="A15">
        <v>50</v>
      </c>
      <c r="B15">
        <f t="shared" ref="B15:B23" si="8">$B$3*A15</f>
        <v>0.02</v>
      </c>
      <c r="C15" s="11">
        <v>6.3168498217122711</v>
      </c>
      <c r="D15">
        <f t="shared" si="0"/>
        <v>6.3368498217122706</v>
      </c>
      <c r="E15">
        <f t="shared" si="1"/>
        <v>694.85348038834979</v>
      </c>
      <c r="F15">
        <f t="shared" si="2"/>
        <v>5.6660891941508593</v>
      </c>
      <c r="G15">
        <f t="shared" si="3"/>
        <v>0.15565856412487192</v>
      </c>
      <c r="H15">
        <f t="shared" si="4"/>
        <v>6.4925083858371426</v>
      </c>
      <c r="I15">
        <f t="shared" si="5"/>
        <v>82145.588762277795</v>
      </c>
      <c r="J15">
        <f t="shared" ref="J15:J23" si="9">($B$5^2)/((I14+I15)/2)^2</f>
        <v>7.1878374141738828E-4</v>
      </c>
      <c r="K15" s="1">
        <f t="shared" ref="K15:K23" si="10">J15*(A15-A14)</f>
        <v>1.7969593535434706E-2</v>
      </c>
      <c r="L15" s="12">
        <f t="shared" ref="L15:L23" si="11">H15-(H14+K15)</f>
        <v>0</v>
      </c>
      <c r="M15" s="20">
        <f t="shared" si="6"/>
        <v>2.3359794767993214</v>
      </c>
      <c r="N15" s="20">
        <f t="shared" si="7"/>
        <v>7.6111855862042432</v>
      </c>
      <c r="T15">
        <v>75</v>
      </c>
      <c r="U15">
        <v>3.0000000000000002E-2</v>
      </c>
      <c r="V15">
        <v>6.5104022744061201</v>
      </c>
      <c r="Z15">
        <v>6.3551520697523438</v>
      </c>
    </row>
    <row r="16" spans="1:26" ht="16.5" x14ac:dyDescent="0.3">
      <c r="A16">
        <v>75</v>
      </c>
      <c r="B16">
        <f t="shared" si="8"/>
        <v>3.0000000000000002E-2</v>
      </c>
      <c r="C16" s="11">
        <v>6.3251520697523427</v>
      </c>
      <c r="D16">
        <f t="shared" si="0"/>
        <v>6.3551520697523429</v>
      </c>
      <c r="E16">
        <f t="shared" si="1"/>
        <v>695.76672767275772</v>
      </c>
      <c r="F16">
        <f t="shared" si="2"/>
        <v>5.6727680583766018</v>
      </c>
      <c r="G16">
        <f t="shared" si="3"/>
        <v>0.15525020465377612</v>
      </c>
      <c r="H16">
        <f t="shared" si="4"/>
        <v>6.5104022744061192</v>
      </c>
      <c r="I16">
        <f t="shared" si="5"/>
        <v>82318.209714835524</v>
      </c>
      <c r="J16">
        <f t="shared" si="9"/>
        <v>7.1575554275900408E-4</v>
      </c>
      <c r="K16" s="1">
        <f t="shared" si="10"/>
        <v>1.7893888568975103E-2</v>
      </c>
      <c r="L16" s="12">
        <f t="shared" si="11"/>
        <v>0</v>
      </c>
      <c r="M16" s="20">
        <f t="shared" si="6"/>
        <v>2.3459794767993212</v>
      </c>
      <c r="N16" s="20">
        <f t="shared" si="7"/>
        <v>7.6211855862042439</v>
      </c>
      <c r="T16">
        <v>100</v>
      </c>
      <c r="U16">
        <v>0.04</v>
      </c>
      <c r="V16">
        <v>6.528221606279593</v>
      </c>
      <c r="Z16">
        <v>6.3733742406415184</v>
      </c>
    </row>
    <row r="17" spans="1:26" ht="16.5" x14ac:dyDescent="0.3">
      <c r="A17">
        <v>100</v>
      </c>
      <c r="B17">
        <f t="shared" si="8"/>
        <v>0.04</v>
      </c>
      <c r="C17" s="11">
        <v>6.3333742406415192</v>
      </c>
      <c r="D17">
        <f t="shared" si="0"/>
        <v>6.3733742406415193</v>
      </c>
      <c r="E17">
        <f t="shared" si="1"/>
        <v>696.67116647056707</v>
      </c>
      <c r="F17">
        <f t="shared" si="2"/>
        <v>5.6793807213115119</v>
      </c>
      <c r="G17">
        <f t="shared" si="3"/>
        <v>0.1548473656380743</v>
      </c>
      <c r="H17">
        <f t="shared" si="4"/>
        <v>6.5282216062795939</v>
      </c>
      <c r="I17">
        <f t="shared" si="5"/>
        <v>82489.290708130808</v>
      </c>
      <c r="J17">
        <f t="shared" si="9"/>
        <v>7.1277327493898259E-4</v>
      </c>
      <c r="K17" s="1">
        <f t="shared" si="10"/>
        <v>1.7819331873474564E-2</v>
      </c>
      <c r="L17" s="12">
        <f t="shared" si="11"/>
        <v>0</v>
      </c>
      <c r="M17" s="20">
        <f t="shared" si="6"/>
        <v>2.3559794767993214</v>
      </c>
      <c r="N17" s="20">
        <f t="shared" si="7"/>
        <v>7.6311855862042437</v>
      </c>
      <c r="T17">
        <v>125</v>
      </c>
      <c r="U17">
        <v>0.05</v>
      </c>
      <c r="V17">
        <v>6.5459675036112674</v>
      </c>
      <c r="Z17">
        <v>6.3915175707896772</v>
      </c>
    </row>
    <row r="18" spans="1:26" ht="16.5" x14ac:dyDescent="0.3">
      <c r="A18">
        <v>125</v>
      </c>
      <c r="B18">
        <f t="shared" si="8"/>
        <v>0.05</v>
      </c>
      <c r="C18" s="11">
        <v>6.34151757078968</v>
      </c>
      <c r="D18">
        <f t="shared" si="0"/>
        <v>6.3915175707896799</v>
      </c>
      <c r="E18">
        <f t="shared" si="1"/>
        <v>697.56693278686475</v>
      </c>
      <c r="F18">
        <f t="shared" si="2"/>
        <v>5.685928229456132</v>
      </c>
      <c r="G18">
        <f t="shared" si="3"/>
        <v>0.15444993282158989</v>
      </c>
      <c r="H18">
        <f t="shared" si="4"/>
        <v>6.5459675036112701</v>
      </c>
      <c r="I18">
        <f t="shared" si="5"/>
        <v>82658.853764707601</v>
      </c>
      <c r="J18">
        <f t="shared" si="9"/>
        <v>7.0983589326703924E-4</v>
      </c>
      <c r="K18" s="1">
        <f t="shared" si="10"/>
        <v>1.7745897331675982E-2</v>
      </c>
      <c r="L18" s="12">
        <f t="shared" si="11"/>
        <v>0</v>
      </c>
      <c r="M18" s="20">
        <f t="shared" si="6"/>
        <v>2.3659794767993212</v>
      </c>
      <c r="N18" s="20">
        <f t="shared" si="7"/>
        <v>7.6411855862042435</v>
      </c>
      <c r="T18">
        <v>150</v>
      </c>
      <c r="U18">
        <v>6.0000000000000005E-2</v>
      </c>
      <c r="V18">
        <v>6.5636410632419011</v>
      </c>
      <c r="Z18">
        <v>6.4095832680220477</v>
      </c>
    </row>
    <row r="19" spans="1:26" ht="16.5" x14ac:dyDescent="0.3">
      <c r="A19">
        <v>150</v>
      </c>
      <c r="B19">
        <f t="shared" si="8"/>
        <v>6.0000000000000005E-2</v>
      </c>
      <c r="C19" s="11">
        <v>6.3495832680220508</v>
      </c>
      <c r="D19">
        <f t="shared" si="0"/>
        <v>6.4095832680220504</v>
      </c>
      <c r="E19">
        <f t="shared" si="1"/>
        <v>698.45415948242555</v>
      </c>
      <c r="F19">
        <f t="shared" si="2"/>
        <v>5.6924116047458861</v>
      </c>
      <c r="G19">
        <f t="shared" si="3"/>
        <v>0.15405779521985297</v>
      </c>
      <c r="H19">
        <f t="shared" si="4"/>
        <v>6.5636410632419029</v>
      </c>
      <c r="I19">
        <f t="shared" si="5"/>
        <v>82826.920425722812</v>
      </c>
      <c r="J19">
        <f t="shared" si="9"/>
        <v>7.0694238522533981E-4</v>
      </c>
      <c r="K19" s="1">
        <f t="shared" si="10"/>
        <v>1.7673559630633495E-2</v>
      </c>
      <c r="L19" s="12">
        <f t="shared" si="11"/>
        <v>0</v>
      </c>
      <c r="M19" s="20">
        <f t="shared" si="6"/>
        <v>2.3759794767993214</v>
      </c>
      <c r="N19" s="20">
        <f t="shared" si="7"/>
        <v>7.6511855862042433</v>
      </c>
      <c r="T19">
        <v>175</v>
      </c>
      <c r="U19">
        <v>7.0000000000000007E-2</v>
      </c>
      <c r="V19">
        <v>6.5812433574724105</v>
      </c>
      <c r="Z19">
        <v>6.4275725124720449</v>
      </c>
    </row>
    <row r="20" spans="1:26" ht="16.5" x14ac:dyDescent="0.3">
      <c r="A20">
        <v>175</v>
      </c>
      <c r="B20">
        <f t="shared" si="8"/>
        <v>7.0000000000000007E-2</v>
      </c>
      <c r="C20" s="11">
        <v>6.3575725124720455</v>
      </c>
      <c r="D20">
        <f t="shared" si="0"/>
        <v>6.4275725124720458</v>
      </c>
      <c r="E20">
        <f t="shared" si="1"/>
        <v>699.33297637192504</v>
      </c>
      <c r="F20">
        <f t="shared" si="2"/>
        <v>5.698831845325798</v>
      </c>
      <c r="G20">
        <f t="shared" si="3"/>
        <v>0.15367084500036599</v>
      </c>
      <c r="H20">
        <f t="shared" si="4"/>
        <v>6.5812433574724114</v>
      </c>
      <c r="I20">
        <f t="shared" si="5"/>
        <v>82993.511765406045</v>
      </c>
      <c r="J20">
        <f t="shared" si="9"/>
        <v>7.0409176922037577E-4</v>
      </c>
      <c r="K20" s="1">
        <f t="shared" si="10"/>
        <v>1.7602294230509394E-2</v>
      </c>
      <c r="L20" s="12">
        <f t="shared" si="11"/>
        <v>0</v>
      </c>
      <c r="M20" s="20">
        <f t="shared" si="6"/>
        <v>2.3859794767993212</v>
      </c>
      <c r="N20" s="20">
        <f t="shared" si="7"/>
        <v>7.6611855862042439</v>
      </c>
      <c r="T20">
        <v>200</v>
      </c>
      <c r="U20">
        <v>0.08</v>
      </c>
      <c r="V20">
        <v>6.5987754348072372</v>
      </c>
      <c r="Z20">
        <v>6.4454864574390438</v>
      </c>
    </row>
    <row r="21" spans="1:26" ht="16.5" x14ac:dyDescent="0.3">
      <c r="A21">
        <v>200</v>
      </c>
      <c r="B21">
        <f t="shared" si="8"/>
        <v>0.08</v>
      </c>
      <c r="C21" s="11">
        <v>6.3654864574390455</v>
      </c>
      <c r="D21">
        <f t="shared" si="0"/>
        <v>6.4454864574390456</v>
      </c>
      <c r="E21">
        <f t="shared" si="1"/>
        <v>700.203510318295</v>
      </c>
      <c r="F21">
        <f t="shared" si="2"/>
        <v>5.705189926294576</v>
      </c>
      <c r="G21">
        <f t="shared" si="3"/>
        <v>0.15328897736819372</v>
      </c>
      <c r="H21">
        <f t="shared" si="4"/>
        <v>6.5987754348072389</v>
      </c>
      <c r="I21">
        <f t="shared" si="5"/>
        <v>83158.648404967651</v>
      </c>
      <c r="J21">
        <f t="shared" si="9"/>
        <v>7.0128309339310339E-4</v>
      </c>
      <c r="K21" s="1">
        <f t="shared" si="10"/>
        <v>1.7532077334827586E-2</v>
      </c>
      <c r="L21" s="12">
        <f t="shared" si="11"/>
        <v>0</v>
      </c>
      <c r="M21" s="20">
        <f t="shared" si="6"/>
        <v>2.3959794767993214</v>
      </c>
      <c r="N21" s="20">
        <f t="shared" si="7"/>
        <v>7.6711855862042437</v>
      </c>
      <c r="T21">
        <v>225</v>
      </c>
      <c r="U21">
        <v>9.0000000000000011E-2</v>
      </c>
      <c r="V21">
        <v>6.6162383206693418</v>
      </c>
      <c r="Z21">
        <v>6.4633262302127417</v>
      </c>
    </row>
    <row r="22" spans="1:26" ht="16.5" x14ac:dyDescent="0.3">
      <c r="A22">
        <v>225</v>
      </c>
      <c r="B22">
        <f t="shared" si="8"/>
        <v>9.0000000000000011E-2</v>
      </c>
      <c r="C22" s="11">
        <v>6.3733262302127445</v>
      </c>
      <c r="D22">
        <f t="shared" si="0"/>
        <v>6.4633262302127443</v>
      </c>
      <c r="E22">
        <f t="shared" si="1"/>
        <v>701.06588532340186</v>
      </c>
      <c r="F22">
        <f t="shared" si="2"/>
        <v>5.7114868004195154</v>
      </c>
      <c r="G22">
        <f t="shared" si="3"/>
        <v>0.15291209045659984</v>
      </c>
      <c r="H22">
        <f t="shared" si="4"/>
        <v>6.6162383206693445</v>
      </c>
      <c r="I22">
        <f t="shared" si="5"/>
        <v>83322.350525980102</v>
      </c>
      <c r="J22">
        <f t="shared" si="9"/>
        <v>6.9851543448418206E-4</v>
      </c>
      <c r="K22" s="1">
        <f t="shared" si="10"/>
        <v>1.7462885862104552E-2</v>
      </c>
      <c r="L22" s="12">
        <f t="shared" si="11"/>
        <v>0</v>
      </c>
      <c r="M22" s="20">
        <f t="shared" si="6"/>
        <v>2.4059794767993212</v>
      </c>
      <c r="N22" s="20">
        <f t="shared" si="7"/>
        <v>7.6811855862042435</v>
      </c>
      <c r="T22">
        <v>250</v>
      </c>
      <c r="U22">
        <v>0.1</v>
      </c>
      <c r="V22">
        <v>6.6336330119130587</v>
      </c>
      <c r="Z22">
        <v>6.481092926380537</v>
      </c>
    </row>
    <row r="23" spans="1:26" ht="16.5" x14ac:dyDescent="0.3">
      <c r="A23">
        <v>250</v>
      </c>
      <c r="B23">
        <f t="shared" si="8"/>
        <v>0.1</v>
      </c>
      <c r="C23" s="11">
        <v>6.38109293286566</v>
      </c>
      <c r="D23">
        <f t="shared" si="0"/>
        <v>6.4810929328656597</v>
      </c>
      <c r="E23">
        <f t="shared" si="1"/>
        <v>701.92022261522266</v>
      </c>
      <c r="F23">
        <f t="shared" si="2"/>
        <v>5.7177233988235905</v>
      </c>
      <c r="G23">
        <f t="shared" si="3"/>
        <v>0.15254008522246751</v>
      </c>
      <c r="H23">
        <f t="shared" si="4"/>
        <v>6.6336330180881271</v>
      </c>
      <c r="I23">
        <f t="shared" si="5"/>
        <v>83484.637883257572</v>
      </c>
      <c r="J23">
        <f t="shared" si="9"/>
        <v>6.9578789675132848E-4</v>
      </c>
      <c r="K23" s="1">
        <f t="shared" si="10"/>
        <v>1.7394697418783214E-2</v>
      </c>
      <c r="L23" s="12">
        <f t="shared" si="11"/>
        <v>0</v>
      </c>
      <c r="M23" s="20">
        <f t="shared" si="6"/>
        <v>2.4159794767993215</v>
      </c>
      <c r="N23" s="20">
        <f t="shared" si="7"/>
        <v>7.6911855862042433</v>
      </c>
      <c r="T23">
        <v>250</v>
      </c>
      <c r="U23">
        <v>0.1</v>
      </c>
      <c r="V23">
        <v>6.6336330119130578</v>
      </c>
      <c r="W23">
        <v>0.1</v>
      </c>
      <c r="X23">
        <v>6.6336330119130622</v>
      </c>
      <c r="Y23">
        <v>6.4166313877856638</v>
      </c>
      <c r="Z23">
        <v>6.6005607248661837</v>
      </c>
    </row>
    <row r="24" spans="1:26" x14ac:dyDescent="0.25">
      <c r="T24">
        <v>275</v>
      </c>
      <c r="U24">
        <v>0.1125</v>
      </c>
      <c r="V24">
        <v>6.6384056063397709</v>
      </c>
      <c r="W24">
        <v>0.11875000000000001</v>
      </c>
      <c r="X24">
        <v>6.6407778343909545</v>
      </c>
      <c r="Y24">
        <v>6.4229172849780349</v>
      </c>
      <c r="Z24">
        <v>6.6052537382269039</v>
      </c>
    </row>
    <row r="25" spans="1:26" x14ac:dyDescent="0.25">
      <c r="T25">
        <v>300</v>
      </c>
      <c r="U25">
        <v>0.125</v>
      </c>
      <c r="V25">
        <v>6.6431964263856118</v>
      </c>
      <c r="W25">
        <v>0.13750000000000001</v>
      </c>
      <c r="X25">
        <v>6.6479662995577558</v>
      </c>
      <c r="Y25">
        <v>6.429244594391994</v>
      </c>
      <c r="Z25">
        <v>6.6099648753674662</v>
      </c>
    </row>
    <row r="26" spans="1:26" x14ac:dyDescent="0.25">
      <c r="T26">
        <v>325</v>
      </c>
      <c r="U26">
        <v>0.13750000000000001</v>
      </c>
      <c r="V26">
        <v>6.6480055219295666</v>
      </c>
      <c r="W26">
        <v>0.15625</v>
      </c>
      <c r="X26">
        <v>6.6551986193523458</v>
      </c>
      <c r="Y26">
        <v>6.4356135554692493</v>
      </c>
      <c r="Z26">
        <v>6.6146941873170562</v>
      </c>
    </row>
    <row r="27" spans="1:26" x14ac:dyDescent="0.25">
      <c r="T27">
        <v>350</v>
      </c>
      <c r="U27">
        <v>0.15000000000000002</v>
      </c>
      <c r="V27">
        <v>6.6528329426645083</v>
      </c>
      <c r="W27">
        <v>0.17499999999999999</v>
      </c>
      <c r="X27">
        <v>6.6624750049218475</v>
      </c>
      <c r="Y27">
        <v>6.442024407483034</v>
      </c>
      <c r="Z27">
        <v>6.6194417249308195</v>
      </c>
    </row>
    <row r="28" spans="1:26" x14ac:dyDescent="0.25">
      <c r="T28">
        <v>375</v>
      </c>
      <c r="U28">
        <v>0.16250000000000003</v>
      </c>
      <c r="V28">
        <v>6.6576787380928986</v>
      </c>
      <c r="W28">
        <v>0.19374999999999998</v>
      </c>
      <c r="X28">
        <v>6.669795666577377</v>
      </c>
      <c r="Y28">
        <v>6.4484773894968326</v>
      </c>
      <c r="Z28">
        <v>6.6242075388855577</v>
      </c>
    </row>
    <row r="29" spans="1:26" x14ac:dyDescent="0.25">
      <c r="T29">
        <v>400</v>
      </c>
      <c r="U29">
        <v>0.17500000000000004</v>
      </c>
      <c r="V29">
        <v>6.6625429575224668</v>
      </c>
      <c r="W29">
        <v>0.21249999999999997</v>
      </c>
      <c r="X29">
        <v>6.6771608137492517</v>
      </c>
      <c r="Y29">
        <v>6.4549727403223969</v>
      </c>
      <c r="Z29">
        <v>6.6289916796753934</v>
      </c>
    </row>
    <row r="30" spans="1:26" x14ac:dyDescent="0.25">
      <c r="T30">
        <v>425</v>
      </c>
      <c r="U30">
        <v>0.18750000000000006</v>
      </c>
      <c r="V30">
        <v>6.6674256500618858</v>
      </c>
      <c r="W30">
        <v>0.23124999999999996</v>
      </c>
      <c r="X30">
        <v>6.6845706549416555</v>
      </c>
      <c r="Y30">
        <v>6.4615106984769994</v>
      </c>
      <c r="Z30">
        <v>6.6337941976074326</v>
      </c>
    </row>
    <row r="31" spans="1:26" x14ac:dyDescent="0.25">
      <c r="T31">
        <v>450</v>
      </c>
      <c r="U31">
        <v>0.20000000000000007</v>
      </c>
      <c r="V31">
        <v>6.6723268646164167</v>
      </c>
      <c r="W31">
        <v>0.24999999999999994</v>
      </c>
      <c r="X31">
        <v>6.6920253976867849</v>
      </c>
      <c r="Y31">
        <v>6.4680915021399779</v>
      </c>
      <c r="Z31">
        <v>6.6386151427973932</v>
      </c>
    </row>
    <row r="32" spans="1:26" x14ac:dyDescent="0.25">
      <c r="T32">
        <v>475</v>
      </c>
      <c r="U32">
        <v>0.21250000000000008</v>
      </c>
      <c r="V32">
        <v>6.6772466498835445</v>
      </c>
      <c r="W32">
        <v>0.26874999999999993</v>
      </c>
      <c r="X32">
        <v>6.699525248498456</v>
      </c>
      <c r="Y32">
        <v>6.4747153891085176</v>
      </c>
      <c r="Z32">
        <v>6.6434545651652233</v>
      </c>
    </row>
    <row r="33" spans="1:26" x14ac:dyDescent="0.25">
      <c r="T33">
        <v>500</v>
      </c>
      <c r="U33">
        <v>0.22500000000000009</v>
      </c>
      <c r="V33">
        <v>6.6821850543485812</v>
      </c>
      <c r="W33">
        <v>0.28749999999999992</v>
      </c>
      <c r="X33">
        <v>6.7070704128252157</v>
      </c>
      <c r="Y33">
        <v>6.4813825967527237</v>
      </c>
      <c r="Z33">
        <v>6.6483125144306854</v>
      </c>
    </row>
    <row r="34" spans="1:26" x14ac:dyDescent="0.25">
      <c r="T34">
        <v>525</v>
      </c>
      <c r="U34">
        <v>0.2375000000000001</v>
      </c>
      <c r="V34">
        <v>6.6871421262802695</v>
      </c>
      <c r="W34">
        <v>0.30624999999999991</v>
      </c>
      <c r="X34">
        <v>6.7146610950029482</v>
      </c>
      <c r="Y34">
        <v>6.4880933619699643</v>
      </c>
      <c r="Z34">
        <v>6.653189040108936</v>
      </c>
    </row>
    <row r="35" spans="1:26" x14ac:dyDescent="0.25">
      <c r="T35">
        <v>550</v>
      </c>
      <c r="U35">
        <v>0.25000000000000011</v>
      </c>
      <c r="V35">
        <v>6.6921179137263698</v>
      </c>
      <c r="W35">
        <v>0.3249999999999999</v>
      </c>
      <c r="X35">
        <v>6.7222974982069852</v>
      </c>
      <c r="Y35">
        <v>6.4948479211384829</v>
      </c>
      <c r="Z35">
        <v>6.6580841915060924</v>
      </c>
    </row>
    <row r="36" spans="1:26" x14ac:dyDescent="0.25">
      <c r="T36">
        <v>575</v>
      </c>
      <c r="U36">
        <v>0.26250000000000012</v>
      </c>
      <c r="V36">
        <v>6.6971124645092148</v>
      </c>
      <c r="W36">
        <v>0.34374999999999989</v>
      </c>
      <c r="X36">
        <v>6.7299798244037525</v>
      </c>
      <c r="Y36">
        <v>6.5016465100703131</v>
      </c>
      <c r="Z36">
        <v>6.662998017714755</v>
      </c>
    </row>
    <row r="37" spans="1:26" x14ac:dyDescent="0.25">
      <c r="T37">
        <v>600</v>
      </c>
      <c r="U37">
        <v>0.27500000000000013</v>
      </c>
      <c r="V37">
        <v>6.70212582622126</v>
      </c>
      <c r="W37">
        <v>0.36249999999999988</v>
      </c>
      <c r="X37">
        <v>6.7377082743019336</v>
      </c>
      <c r="Y37">
        <v>6.5084893639634576</v>
      </c>
      <c r="Z37">
        <v>6.6679305676095382</v>
      </c>
    </row>
    <row r="38" spans="1:26" x14ac:dyDescent="0.25">
      <c r="T38">
        <v>625</v>
      </c>
      <c r="U38">
        <v>0.28750000000000014</v>
      </c>
      <c r="V38">
        <v>6.7071580462206288</v>
      </c>
      <c r="W38">
        <v>0.38124999999999987</v>
      </c>
      <c r="X38">
        <v>6.7454830473032015</v>
      </c>
      <c r="Y38">
        <v>6.5153767173533943</v>
      </c>
      <c r="Z38">
        <v>6.6728818898425777</v>
      </c>
    </row>
    <row r="39" spans="1:26" x14ac:dyDescent="0.25">
      <c r="T39">
        <v>650</v>
      </c>
      <c r="U39">
        <v>0.30000000000000016</v>
      </c>
      <c r="V39">
        <v>6.7122091716266263</v>
      </c>
      <c r="W39">
        <v>0.39999999999999986</v>
      </c>
      <c r="X39">
        <v>6.7533043414524858</v>
      </c>
      <c r="Y39">
        <v>6.5223088040638553</v>
      </c>
      <c r="Z39">
        <v>6.6778520328390174</v>
      </c>
    </row>
    <row r="40" spans="1:26" x14ac:dyDescent="0.25">
      <c r="T40">
        <v>675</v>
      </c>
      <c r="U40">
        <v>0.31250000000000017</v>
      </c>
      <c r="V40">
        <v>6.7172792493152498</v>
      </c>
      <c r="Z40">
        <v>6.6828410447924824</v>
      </c>
    </row>
    <row r="41" spans="1:26" x14ac:dyDescent="0.25">
      <c r="T41">
        <v>700</v>
      </c>
      <c r="U41">
        <v>0.32500000000000018</v>
      </c>
      <c r="V41">
        <v>6.7223683259146885</v>
      </c>
      <c r="Z41">
        <v>6.687848973660544</v>
      </c>
    </row>
    <row r="42" spans="1:26" x14ac:dyDescent="0.25">
      <c r="A42" t="s">
        <v>67</v>
      </c>
      <c r="T42">
        <v>725</v>
      </c>
      <c r="U42">
        <v>0.33750000000000019</v>
      </c>
      <c r="V42">
        <v>6.727476447800802</v>
      </c>
      <c r="Z42">
        <v>6.6928758671601578</v>
      </c>
    </row>
    <row r="43" spans="1:26" x14ac:dyDescent="0.25">
      <c r="A43" t="s">
        <v>20</v>
      </c>
      <c r="B43" t="s">
        <v>21</v>
      </c>
      <c r="C43" t="s">
        <v>22</v>
      </c>
      <c r="D43" t="s">
        <v>35</v>
      </c>
      <c r="E43" t="s">
        <v>23</v>
      </c>
      <c r="F43" t="s">
        <v>27</v>
      </c>
      <c r="G43" t="s">
        <v>65</v>
      </c>
      <c r="H43" t="s">
        <v>29</v>
      </c>
      <c r="I43" t="s">
        <v>28</v>
      </c>
      <c r="J43" t="s">
        <v>59</v>
      </c>
      <c r="K43" t="s">
        <v>66</v>
      </c>
      <c r="L43" t="s">
        <v>61</v>
      </c>
      <c r="M43" t="s">
        <v>36</v>
      </c>
      <c r="N43" t="s">
        <v>37</v>
      </c>
      <c r="O43" t="s">
        <v>20</v>
      </c>
      <c r="T43">
        <v>750</v>
      </c>
      <c r="U43">
        <v>0.3500000000000002</v>
      </c>
      <c r="V43">
        <v>6.7326036610925959</v>
      </c>
      <c r="Z43">
        <v>6.6979217727631006</v>
      </c>
    </row>
    <row r="44" spans="1:26" x14ac:dyDescent="0.25">
      <c r="A44">
        <v>0</v>
      </c>
      <c r="B44">
        <v>0.1</v>
      </c>
      <c r="C44" s="11">
        <v>6.5005607311196822</v>
      </c>
      <c r="D44">
        <f>B44+C44</f>
        <v>6.6005607311196819</v>
      </c>
      <c r="E44">
        <f>$E$2*C44</f>
        <v>617.55326945636978</v>
      </c>
      <c r="F44">
        <f>E44/($E$2+2*C44)</f>
        <v>5.7180264528298075</v>
      </c>
      <c r="G44">
        <f>($E$5/E44)^2/(2*$K$8)</f>
        <v>3.3072286981437167E-2</v>
      </c>
      <c r="H44">
        <f>D44+G44</f>
        <v>6.6336330181011194</v>
      </c>
      <c r="I44">
        <f>($K$9/$E$4)*E44*((F44)^0.667)</f>
        <v>65291.413213542204</v>
      </c>
      <c r="L44" s="12">
        <f>H44-$H$23</f>
        <v>1.2992273923373432E-11</v>
      </c>
      <c r="M44" s="20">
        <f>B44+$O$3</f>
        <v>1.508635474150398</v>
      </c>
      <c r="N44" s="20">
        <f>B44+$O$4</f>
        <v>4.9069749841041643</v>
      </c>
      <c r="O44">
        <v>250</v>
      </c>
      <c r="T44">
        <v>775</v>
      </c>
      <c r="U44">
        <v>0.36250000000000021</v>
      </c>
      <c r="V44">
        <v>6.7377500116476901</v>
      </c>
      <c r="Z44">
        <v>6.7029867376913925</v>
      </c>
    </row>
    <row r="45" spans="1:26" ht="16.5" x14ac:dyDescent="0.3">
      <c r="A45">
        <v>25</v>
      </c>
      <c r="B45">
        <f>B44+$E$3*(A45-A44)</f>
        <v>0.1125</v>
      </c>
      <c r="C45" s="11">
        <v>6.4927537444637986</v>
      </c>
      <c r="D45">
        <f t="shared" ref="D45:D68" si="12">B45+C45</f>
        <v>6.6052537444637984</v>
      </c>
      <c r="E45">
        <f t="shared" ref="E45:E68" si="13">$E$2*C45</f>
        <v>616.81160572406088</v>
      </c>
      <c r="F45">
        <f t="shared" ref="F45:F68" si="14">E45/($E$2+2*C45)</f>
        <v>5.7119850623224258</v>
      </c>
      <c r="G45">
        <f t="shared" ref="G45:G68" si="15">($E$5/E45)^2/(2*$K$8)</f>
        <v>3.3151868047365973E-2</v>
      </c>
      <c r="H45">
        <f t="shared" ref="H45:H68" si="16">D45+G45</f>
        <v>6.6384056125111641</v>
      </c>
      <c r="I45">
        <f t="shared" ref="I45:I68" si="17">($K$9/$E$4)*E45*((F45)^0.667)</f>
        <v>65167.035110050419</v>
      </c>
      <c r="J45">
        <f>($E$5^2)/((I44+I45)/2)^2</f>
        <v>1.9090377647571993E-4</v>
      </c>
      <c r="K45" s="1">
        <f>J45*(A45-A44)</f>
        <v>4.7725944118929978E-3</v>
      </c>
      <c r="L45" s="12">
        <f>H45-(H44+K45)</f>
        <v>-1.8482992913959606E-12</v>
      </c>
      <c r="M45" s="20">
        <f t="shared" ref="M45:M68" si="18">B45+$O$3</f>
        <v>1.521135474150398</v>
      </c>
      <c r="N45" s="20">
        <f t="shared" ref="N45:N68" si="19">B45+$O$4</f>
        <v>4.9194749841041645</v>
      </c>
      <c r="O45">
        <v>275</v>
      </c>
      <c r="T45">
        <v>800</v>
      </c>
      <c r="U45">
        <v>0.37500000000000022</v>
      </c>
      <c r="V45">
        <v>6.742915545057758</v>
      </c>
      <c r="Z45">
        <v>6.7080708089126961</v>
      </c>
    </row>
    <row r="46" spans="1:26" ht="16.5" x14ac:dyDescent="0.3">
      <c r="A46">
        <v>50</v>
      </c>
      <c r="B46">
        <f t="shared" ref="B46:B68" si="20">B45+$E$3*(A46-A45)</f>
        <v>0.125</v>
      </c>
      <c r="C46" s="11">
        <v>6.4849648815877092</v>
      </c>
      <c r="D46">
        <f t="shared" si="12"/>
        <v>6.6099648815877092</v>
      </c>
      <c r="E46">
        <f t="shared" si="13"/>
        <v>616.07166375083239</v>
      </c>
      <c r="F46">
        <f t="shared" si="14"/>
        <v>5.7059559555344999</v>
      </c>
      <c r="G46">
        <f t="shared" si="15"/>
        <v>3.3231550952580687E-2</v>
      </c>
      <c r="H46">
        <f t="shared" si="16"/>
        <v>6.6431964325402904</v>
      </c>
      <c r="I46">
        <f t="shared" si="17"/>
        <v>65043.026546111432</v>
      </c>
      <c r="J46">
        <f t="shared" ref="J46:J68" si="21">($E$5^2)/((I45+I46)/2)^2</f>
        <v>1.9163280123933506E-4</v>
      </c>
      <c r="K46" s="1">
        <f t="shared" ref="K46:K68" si="22">J46*(A46-A45)</f>
        <v>4.7908200309833768E-3</v>
      </c>
      <c r="L46" s="12">
        <f t="shared" ref="L46:L68" si="23">H46-(H45+K46)</f>
        <v>-1.8571810755929619E-12</v>
      </c>
      <c r="M46" s="20">
        <f t="shared" si="18"/>
        <v>1.5336354741503979</v>
      </c>
      <c r="N46" s="20">
        <f t="shared" si="19"/>
        <v>4.9319749841041647</v>
      </c>
      <c r="O46">
        <v>300</v>
      </c>
      <c r="T46">
        <v>825</v>
      </c>
      <c r="U46">
        <v>0.38750000000000023</v>
      </c>
      <c r="V46">
        <v>6.7481003066439831</v>
      </c>
      <c r="Z46">
        <v>6.7131740331357195</v>
      </c>
    </row>
    <row r="47" spans="1:26" ht="16.5" x14ac:dyDescent="0.3">
      <c r="A47">
        <v>75</v>
      </c>
      <c r="B47">
        <f t="shared" si="20"/>
        <v>0.13750000000000001</v>
      </c>
      <c r="C47" s="11">
        <v>6.4771941935206012</v>
      </c>
      <c r="D47">
        <f t="shared" si="12"/>
        <v>6.6146941935206014</v>
      </c>
      <c r="E47">
        <f t="shared" si="13"/>
        <v>615.33344838445714</v>
      </c>
      <c r="F47">
        <f t="shared" si="14"/>
        <v>5.6999391833738686</v>
      </c>
      <c r="G47">
        <f t="shared" si="15"/>
        <v>3.3311334546883363E-2</v>
      </c>
      <c r="H47">
        <f t="shared" si="16"/>
        <v>6.6480055280674843</v>
      </c>
      <c r="I47">
        <f t="shared" si="17"/>
        <v>64919.387833128996</v>
      </c>
      <c r="J47">
        <f t="shared" si="21"/>
        <v>1.923638211625344E-4</v>
      </c>
      <c r="K47" s="1">
        <f t="shared" si="22"/>
        <v>4.8090955290633602E-3</v>
      </c>
      <c r="L47" s="12">
        <f t="shared" si="23"/>
        <v>-1.8696155734687636E-12</v>
      </c>
      <c r="M47" s="20">
        <f t="shared" si="18"/>
        <v>1.5461354741503979</v>
      </c>
      <c r="N47" s="20">
        <f t="shared" si="19"/>
        <v>4.9444749841041649</v>
      </c>
      <c r="O47">
        <v>325</v>
      </c>
      <c r="T47">
        <v>850</v>
      </c>
      <c r="U47">
        <v>0.40000000000000024</v>
      </c>
      <c r="V47">
        <v>6.753304341452484</v>
      </c>
      <c r="Z47">
        <v>6.7182964568055947</v>
      </c>
    </row>
    <row r="48" spans="1:26" ht="16.5" x14ac:dyDescent="0.3">
      <c r="A48">
        <v>100</v>
      </c>
      <c r="B48">
        <f t="shared" si="20"/>
        <v>0.15000000000000002</v>
      </c>
      <c r="C48" s="11">
        <v>6.4694417311176213</v>
      </c>
      <c r="D48">
        <f t="shared" si="12"/>
        <v>6.6194417311176217</v>
      </c>
      <c r="E48">
        <f t="shared" si="13"/>
        <v>614.59696445617408</v>
      </c>
      <c r="F48">
        <f t="shared" si="14"/>
        <v>5.693934796640769</v>
      </c>
      <c r="G48">
        <f t="shared" si="15"/>
        <v>3.3391217668000336E-2</v>
      </c>
      <c r="H48">
        <f t="shared" si="16"/>
        <v>6.6528329487856217</v>
      </c>
      <c r="I48">
        <f t="shared" si="17"/>
        <v>64796.119278152888</v>
      </c>
      <c r="J48">
        <f t="shared" si="21"/>
        <v>1.9309682880060773E-4</v>
      </c>
      <c r="K48" s="1">
        <f t="shared" si="22"/>
        <v>4.8274207200151931E-3</v>
      </c>
      <c r="L48" s="12">
        <f t="shared" si="23"/>
        <v>-1.8776091792460647E-12</v>
      </c>
      <c r="M48" s="20">
        <f t="shared" si="18"/>
        <v>1.5586354741503978</v>
      </c>
      <c r="N48" s="20">
        <f t="shared" si="19"/>
        <v>4.956974984104165</v>
      </c>
      <c r="O48">
        <v>350</v>
      </c>
      <c r="T48">
        <v>850</v>
      </c>
      <c r="U48">
        <v>0.4</v>
      </c>
      <c r="V48">
        <v>6.753304341452484</v>
      </c>
      <c r="Z48">
        <v>6.5912670205079493</v>
      </c>
    </row>
    <row r="49" spans="1:26" ht="16.5" x14ac:dyDescent="0.3">
      <c r="A49">
        <v>125</v>
      </c>
      <c r="B49">
        <f t="shared" si="20"/>
        <v>0.16250000000000003</v>
      </c>
      <c r="C49" s="11">
        <v>6.4617075450555674</v>
      </c>
      <c r="D49">
        <f t="shared" si="12"/>
        <v>6.6242075450555671</v>
      </c>
      <c r="E49">
        <f t="shared" si="13"/>
        <v>613.86221678027891</v>
      </c>
      <c r="F49">
        <f t="shared" si="14"/>
        <v>5.6879428460240247</v>
      </c>
      <c r="G49">
        <f t="shared" si="15"/>
        <v>3.3471199141592245E-2</v>
      </c>
      <c r="H49">
        <f t="shared" si="16"/>
        <v>6.6576787441971597</v>
      </c>
      <c r="I49">
        <f t="shared" si="17"/>
        <v>64673.221183830952</v>
      </c>
      <c r="J49">
        <f t="shared" si="21"/>
        <v>1.9383181653705213E-4</v>
      </c>
      <c r="K49" s="1">
        <f t="shared" si="22"/>
        <v>4.8457954134263036E-3</v>
      </c>
      <c r="L49" s="12">
        <f t="shared" si="23"/>
        <v>-1.8882673202824662E-12</v>
      </c>
      <c r="M49" s="20">
        <f t="shared" si="18"/>
        <v>1.571135474150398</v>
      </c>
      <c r="N49" s="20">
        <f t="shared" si="19"/>
        <v>4.9694749841041643</v>
      </c>
      <c r="O49">
        <v>375</v>
      </c>
      <c r="T49">
        <v>875</v>
      </c>
      <c r="U49">
        <v>0.41000000000000003</v>
      </c>
      <c r="V49">
        <v>6.759973933378383</v>
      </c>
      <c r="Z49">
        <v>6.5977524917695796</v>
      </c>
    </row>
    <row r="50" spans="1:26" ht="16.5" x14ac:dyDescent="0.3">
      <c r="A50">
        <v>150</v>
      </c>
      <c r="B50">
        <f t="shared" si="20"/>
        <v>0.17500000000000004</v>
      </c>
      <c r="C50" s="11">
        <v>6.4539916858285675</v>
      </c>
      <c r="D50">
        <f t="shared" si="12"/>
        <v>6.6289916858285673</v>
      </c>
      <c r="E50">
        <f t="shared" si="13"/>
        <v>613.12921015371387</v>
      </c>
      <c r="F50">
        <f t="shared" si="14"/>
        <v>5.6819633820972415</v>
      </c>
      <c r="G50">
        <f t="shared" si="15"/>
        <v>3.355127778126591E-2</v>
      </c>
      <c r="H50">
        <f t="shared" si="16"/>
        <v>6.662542963609833</v>
      </c>
      <c r="I50">
        <f t="shared" si="17"/>
        <v>64550.693848361167</v>
      </c>
      <c r="J50">
        <f t="shared" si="21"/>
        <v>1.9456877658279839E-4</v>
      </c>
      <c r="K50" s="1">
        <f t="shared" si="22"/>
        <v>4.8642194145699594E-3</v>
      </c>
      <c r="L50" s="12">
        <f t="shared" si="23"/>
        <v>-1.8962609260597674E-12</v>
      </c>
      <c r="M50" s="20">
        <f t="shared" si="18"/>
        <v>1.583635474150398</v>
      </c>
      <c r="N50" s="20">
        <f t="shared" si="19"/>
        <v>4.9819749841041645</v>
      </c>
      <c r="O50">
        <v>400</v>
      </c>
      <c r="T50">
        <v>900</v>
      </c>
      <c r="U50">
        <v>0.42000000000000004</v>
      </c>
      <c r="V50">
        <v>6.7666556336478685</v>
      </c>
      <c r="Z50">
        <v>6.6042504111822016</v>
      </c>
    </row>
    <row r="51" spans="1:26" ht="16.5" x14ac:dyDescent="0.3">
      <c r="A51">
        <v>175</v>
      </c>
      <c r="B51">
        <f t="shared" si="20"/>
        <v>0.18750000000000006</v>
      </c>
      <c r="C51" s="11">
        <v>6.4462942037437259</v>
      </c>
      <c r="D51">
        <f t="shared" si="12"/>
        <v>6.6337942037437259</v>
      </c>
      <c r="E51">
        <f t="shared" si="13"/>
        <v>612.39794935565396</v>
      </c>
      <c r="F51">
        <f t="shared" si="14"/>
        <v>5.6759964553149533</v>
      </c>
      <c r="G51">
        <f t="shared" si="15"/>
        <v>3.36314523885883E-2</v>
      </c>
      <c r="H51">
        <f t="shared" si="16"/>
        <v>6.6674256561323144</v>
      </c>
      <c r="I51">
        <f t="shared" si="17"/>
        <v>64428.537565443672</v>
      </c>
      <c r="J51">
        <f t="shared" si="21"/>
        <v>1.9530770097545726E-4</v>
      </c>
      <c r="K51" s="1">
        <f t="shared" si="22"/>
        <v>4.882692524386432E-3</v>
      </c>
      <c r="L51" s="12">
        <f t="shared" si="23"/>
        <v>-1.9051427102567686E-12</v>
      </c>
      <c r="M51" s="20">
        <f t="shared" si="18"/>
        <v>1.5961354741503979</v>
      </c>
      <c r="N51" s="20">
        <f t="shared" si="19"/>
        <v>4.9944749841041647</v>
      </c>
      <c r="O51">
        <v>425</v>
      </c>
      <c r="T51">
        <v>925</v>
      </c>
      <c r="U51">
        <v>0.43000000000000005</v>
      </c>
      <c r="V51">
        <v>6.7733494282949378</v>
      </c>
      <c r="Z51">
        <v>6.6107607667714081</v>
      </c>
    </row>
    <row r="52" spans="1:26" ht="16.5" x14ac:dyDescent="0.3">
      <c r="A52">
        <v>200</v>
      </c>
      <c r="B52">
        <f t="shared" si="20"/>
        <v>0.20000000000000007</v>
      </c>
      <c r="C52" s="11">
        <v>6.4386151489167629</v>
      </c>
      <c r="D52">
        <f t="shared" si="12"/>
        <v>6.6386151489167631</v>
      </c>
      <c r="E52">
        <f t="shared" si="13"/>
        <v>611.6684391470925</v>
      </c>
      <c r="F52">
        <f t="shared" si="14"/>
        <v>5.6700421160087622</v>
      </c>
      <c r="G52">
        <f t="shared" si="15"/>
        <v>3.3711721753102275E-2</v>
      </c>
      <c r="H52">
        <f t="shared" si="16"/>
        <v>6.6723268706698651</v>
      </c>
      <c r="I52">
        <f t="shared" si="17"/>
        <v>64306.752624232751</v>
      </c>
      <c r="J52">
        <f t="shared" si="21"/>
        <v>1.9604858157858687E-4</v>
      </c>
      <c r="K52" s="1">
        <f t="shared" si="22"/>
        <v>4.9012145394646718E-3</v>
      </c>
      <c r="L52" s="12">
        <f t="shared" si="23"/>
        <v>-1.9140244944537699E-12</v>
      </c>
      <c r="M52" s="20">
        <f t="shared" si="18"/>
        <v>1.6086354741503981</v>
      </c>
      <c r="N52" s="20">
        <f t="shared" si="19"/>
        <v>5.0069749841041649</v>
      </c>
      <c r="O52">
        <v>450</v>
      </c>
      <c r="T52">
        <v>950</v>
      </c>
      <c r="U52">
        <v>0.44000000000000006</v>
      </c>
      <c r="V52">
        <v>6.7800553031723059</v>
      </c>
      <c r="Z52">
        <v>6.6172835463682009</v>
      </c>
    </row>
    <row r="53" spans="1:26" ht="16.5" x14ac:dyDescent="0.3">
      <c r="A53">
        <v>225</v>
      </c>
      <c r="B53">
        <f t="shared" si="20"/>
        <v>0.21250000000000008</v>
      </c>
      <c r="C53" s="11">
        <v>6.4309545712676268</v>
      </c>
      <c r="D53">
        <f t="shared" si="12"/>
        <v>6.6434545712676272</v>
      </c>
      <c r="E53">
        <f t="shared" si="13"/>
        <v>610.94068427042453</v>
      </c>
      <c r="F53">
        <f t="shared" si="14"/>
        <v>5.664100414383455</v>
      </c>
      <c r="G53">
        <f t="shared" si="15"/>
        <v>3.379208465234438E-2</v>
      </c>
      <c r="H53">
        <f t="shared" si="16"/>
        <v>6.6772466559199719</v>
      </c>
      <c r="I53">
        <f t="shared" si="17"/>
        <v>64185.339309288924</v>
      </c>
      <c r="J53">
        <f t="shared" si="21"/>
        <v>1.9679141008098038E-4</v>
      </c>
      <c r="K53" s="1">
        <f t="shared" si="22"/>
        <v>4.9197852520245092E-3</v>
      </c>
      <c r="L53" s="12">
        <f t="shared" si="23"/>
        <v>-1.9175772081325704E-12</v>
      </c>
      <c r="M53" s="20">
        <f t="shared" si="18"/>
        <v>1.621135474150398</v>
      </c>
      <c r="N53" s="20">
        <f t="shared" si="19"/>
        <v>5.019474984104165</v>
      </c>
      <c r="O53">
        <v>475</v>
      </c>
      <c r="T53">
        <v>975</v>
      </c>
      <c r="U53">
        <v>0.45000000000000007</v>
      </c>
      <c r="V53">
        <v>6.7867732439520534</v>
      </c>
      <c r="Z53">
        <v>6.6238187376095325</v>
      </c>
    </row>
    <row r="54" spans="1:26" ht="16.5" x14ac:dyDescent="0.3">
      <c r="A54">
        <v>250</v>
      </c>
      <c r="B54">
        <f t="shared" si="20"/>
        <v>0.22500000000000009</v>
      </c>
      <c r="C54" s="11">
        <v>6.4233125205160828</v>
      </c>
      <c r="D54">
        <f t="shared" si="12"/>
        <v>6.6483125205160825</v>
      </c>
      <c r="E54">
        <f t="shared" si="13"/>
        <v>610.2146894490279</v>
      </c>
      <c r="F54">
        <f t="shared" si="14"/>
        <v>5.6581714005130976</v>
      </c>
      <c r="G54">
        <f t="shared" si="15"/>
        <v>3.3872539851864746E-2</v>
      </c>
      <c r="H54">
        <f t="shared" si="16"/>
        <v>6.6821850603679476</v>
      </c>
      <c r="I54">
        <f t="shared" si="17"/>
        <v>64064.297900530888</v>
      </c>
      <c r="J54">
        <f t="shared" si="21"/>
        <v>1.9753617799597549E-4</v>
      </c>
      <c r="K54" s="1">
        <f t="shared" si="22"/>
        <v>4.9384044498993872E-3</v>
      </c>
      <c r="L54" s="12">
        <f t="shared" si="23"/>
        <v>-1.9237944570704713E-12</v>
      </c>
      <c r="M54" s="20">
        <f t="shared" si="18"/>
        <v>1.633635474150398</v>
      </c>
      <c r="N54" s="20">
        <f t="shared" si="19"/>
        <v>5.0319749841041652</v>
      </c>
      <c r="O54">
        <v>500</v>
      </c>
      <c r="T54">
        <v>1000</v>
      </c>
      <c r="U54">
        <v>0.46000000000000008</v>
      </c>
      <c r="V54">
        <v>6.7935032361262904</v>
      </c>
      <c r="Z54">
        <v>6.6303663279388498</v>
      </c>
    </row>
    <row r="55" spans="1:26" ht="16.5" x14ac:dyDescent="0.3">
      <c r="A55">
        <v>275</v>
      </c>
      <c r="B55">
        <f t="shared" si="20"/>
        <v>0.2375000000000001</v>
      </c>
      <c r="C55" s="11">
        <v>6.4156890461772864</v>
      </c>
      <c r="D55">
        <f t="shared" si="12"/>
        <v>6.6531890461772862</v>
      </c>
      <c r="E55">
        <f t="shared" si="13"/>
        <v>609.49045938684219</v>
      </c>
      <c r="F55">
        <f t="shared" si="14"/>
        <v>5.6522551243370982</v>
      </c>
      <c r="G55">
        <f t="shared" si="15"/>
        <v>3.3953086105248949E-2</v>
      </c>
      <c r="H55">
        <f t="shared" si="16"/>
        <v>6.6871421322825348</v>
      </c>
      <c r="I55">
        <f t="shared" si="17"/>
        <v>63943.628673187377</v>
      </c>
      <c r="J55">
        <f t="shared" si="21"/>
        <v>1.9828287666078675E-4</v>
      </c>
      <c r="K55" s="1">
        <f t="shared" si="22"/>
        <v>4.9570719165196687E-3</v>
      </c>
      <c r="L55" s="12">
        <f t="shared" si="23"/>
        <v>-1.9326762412674725E-12</v>
      </c>
      <c r="M55" s="20">
        <f t="shared" si="18"/>
        <v>1.646135474150398</v>
      </c>
      <c r="N55" s="20">
        <f t="shared" si="19"/>
        <v>5.0444749841041645</v>
      </c>
      <c r="O55">
        <v>525</v>
      </c>
      <c r="T55">
        <v>1025</v>
      </c>
      <c r="U55">
        <v>0.47000000000000008</v>
      </c>
      <c r="V55">
        <v>6.8002452640070228</v>
      </c>
      <c r="Z55">
        <v>6.6369263035498847</v>
      </c>
    </row>
    <row r="56" spans="1:26" ht="16.5" x14ac:dyDescent="0.3">
      <c r="A56">
        <v>300</v>
      </c>
      <c r="B56">
        <f t="shared" si="20"/>
        <v>0.25000000000000011</v>
      </c>
      <c r="C56" s="11">
        <v>6.4080841975573559</v>
      </c>
      <c r="D56">
        <f t="shared" si="12"/>
        <v>6.6580841975573559</v>
      </c>
      <c r="E56">
        <f t="shared" si="13"/>
        <v>608.76799876794882</v>
      </c>
      <c r="F56">
        <f t="shared" si="14"/>
        <v>5.6463516356562797</v>
      </c>
      <c r="G56">
        <f t="shared" si="15"/>
        <v>3.4033722154141646E-2</v>
      </c>
      <c r="H56">
        <f t="shared" si="16"/>
        <v>6.6921179197114977</v>
      </c>
      <c r="I56">
        <f t="shared" si="17"/>
        <v>63823.331897749602</v>
      </c>
      <c r="J56">
        <f t="shared" si="21"/>
        <v>1.9903149723585832E-4</v>
      </c>
      <c r="K56" s="1">
        <f t="shared" si="22"/>
        <v>4.975787430896458E-3</v>
      </c>
      <c r="L56" s="12">
        <f t="shared" si="23"/>
        <v>-1.9335644196871726E-12</v>
      </c>
      <c r="M56" s="20">
        <f t="shared" si="18"/>
        <v>1.6586354741503979</v>
      </c>
      <c r="N56" s="20">
        <f t="shared" si="19"/>
        <v>5.0569749841041647</v>
      </c>
      <c r="O56">
        <v>550</v>
      </c>
      <c r="T56">
        <v>1050</v>
      </c>
      <c r="U56">
        <v>0.48000000000000009</v>
      </c>
      <c r="V56">
        <v>6.8069993149350161</v>
      </c>
      <c r="Z56">
        <v>6.6434986538306759</v>
      </c>
    </row>
    <row r="57" spans="1:26" ht="16.5" x14ac:dyDescent="0.3">
      <c r="A57">
        <v>325</v>
      </c>
      <c r="B57">
        <f t="shared" si="20"/>
        <v>0.26250000000000012</v>
      </c>
      <c r="C57" s="11">
        <v>6.4004980237488898</v>
      </c>
      <c r="D57">
        <f t="shared" si="12"/>
        <v>6.6629980237488899</v>
      </c>
      <c r="E57">
        <f t="shared" si="13"/>
        <v>608.04731225614455</v>
      </c>
      <c r="F57">
        <f t="shared" si="14"/>
        <v>5.6404609841288957</v>
      </c>
      <c r="G57">
        <f t="shared" si="15"/>
        <v>3.4114446728272824E-2</v>
      </c>
      <c r="H57">
        <f t="shared" si="16"/>
        <v>6.6971124704771627</v>
      </c>
      <c r="I57">
        <f t="shared" si="17"/>
        <v>63703.407839922816</v>
      </c>
      <c r="J57">
        <f t="shared" si="21"/>
        <v>1.9978203070424114E-4</v>
      </c>
      <c r="K57" s="1">
        <f t="shared" si="22"/>
        <v>4.9945507676060286E-3</v>
      </c>
      <c r="L57" s="12">
        <f t="shared" si="23"/>
        <v>-1.9406698470447736E-12</v>
      </c>
      <c r="M57" s="20">
        <f t="shared" si="18"/>
        <v>1.6711354741503981</v>
      </c>
      <c r="N57" s="20">
        <f t="shared" si="19"/>
        <v>5.0694749841041649</v>
      </c>
      <c r="O57">
        <v>575</v>
      </c>
      <c r="T57">
        <v>1075</v>
      </c>
      <c r="U57">
        <v>0.4900000000000001</v>
      </c>
      <c r="V57">
        <v>6.8137653726476719</v>
      </c>
      <c r="Z57">
        <v>6.6500833643606585</v>
      </c>
    </row>
    <row r="58" spans="1:26" ht="16.5" x14ac:dyDescent="0.3">
      <c r="A58">
        <v>350</v>
      </c>
      <c r="B58">
        <f t="shared" si="20"/>
        <v>0.27500000000000013</v>
      </c>
      <c r="C58" s="11">
        <v>6.3929305736265096</v>
      </c>
      <c r="D58">
        <f t="shared" si="12"/>
        <v>6.66793057362651</v>
      </c>
      <c r="E58">
        <f t="shared" si="13"/>
        <v>607.3284044945184</v>
      </c>
      <c r="F58">
        <f t="shared" si="14"/>
        <v>5.6345832192666627</v>
      </c>
      <c r="G58">
        <f t="shared" si="15"/>
        <v>3.4195258545485552E-2</v>
      </c>
      <c r="H58">
        <f t="shared" si="16"/>
        <v>6.7021258321719959</v>
      </c>
      <c r="I58">
        <f t="shared" si="17"/>
        <v>63583.856760578827</v>
      </c>
      <c r="J58">
        <f t="shared" si="21"/>
        <v>2.005344678709927E-4</v>
      </c>
      <c r="K58" s="1">
        <f t="shared" si="22"/>
        <v>5.0133616967748176E-3</v>
      </c>
      <c r="L58" s="12">
        <f t="shared" si="23"/>
        <v>-1.9415580254644738E-12</v>
      </c>
      <c r="M58" s="20">
        <f t="shared" si="18"/>
        <v>1.683635474150398</v>
      </c>
      <c r="N58" s="20">
        <f t="shared" si="19"/>
        <v>5.081974984104165</v>
      </c>
      <c r="O58">
        <v>600</v>
      </c>
      <c r="T58">
        <v>1100</v>
      </c>
      <c r="U58">
        <v>0.50000000000000011</v>
      </c>
      <c r="V58">
        <v>6.8205434219255423</v>
      </c>
      <c r="Z58">
        <v>6.6566804218165796</v>
      </c>
    </row>
    <row r="59" spans="1:26" ht="16.5" x14ac:dyDescent="0.3">
      <c r="A59">
        <v>375</v>
      </c>
      <c r="B59">
        <f t="shared" si="20"/>
        <v>0.28750000000000014</v>
      </c>
      <c r="C59" s="11">
        <v>6.3853818958423503</v>
      </c>
      <c r="D59">
        <f t="shared" si="12"/>
        <v>6.6728818958423508</v>
      </c>
      <c r="E59">
        <f t="shared" si="13"/>
        <v>606.6112801050233</v>
      </c>
      <c r="F59">
        <f t="shared" si="14"/>
        <v>5.628718390430743</v>
      </c>
      <c r="G59">
        <f t="shared" si="15"/>
        <v>3.4276156311766268E-2</v>
      </c>
      <c r="H59">
        <f t="shared" si="16"/>
        <v>6.7071580521541172</v>
      </c>
      <c r="I59">
        <f t="shared" si="17"/>
        <v>63464.678915707758</v>
      </c>
      <c r="J59">
        <f t="shared" si="21"/>
        <v>2.0128879936260073E-4</v>
      </c>
      <c r="K59" s="1">
        <f t="shared" si="22"/>
        <v>5.0322199840650179E-3</v>
      </c>
      <c r="L59" s="12">
        <f t="shared" si="23"/>
        <v>-1.943334382303874E-12</v>
      </c>
      <c r="M59" s="20">
        <f t="shared" si="18"/>
        <v>1.696135474150398</v>
      </c>
      <c r="N59" s="20">
        <f t="shared" si="19"/>
        <v>5.0944749841041652</v>
      </c>
      <c r="O59">
        <v>625</v>
      </c>
      <c r="T59">
        <v>1125</v>
      </c>
      <c r="U59">
        <v>0.51000000000000012</v>
      </c>
      <c r="V59">
        <v>6.82733344737008</v>
      </c>
      <c r="Z59">
        <v>6.66328981268187</v>
      </c>
    </row>
    <row r="60" spans="1:26" ht="16.5" x14ac:dyDescent="0.3">
      <c r="A60">
        <v>400</v>
      </c>
      <c r="B60">
        <f t="shared" si="20"/>
        <v>0.30000000000000016</v>
      </c>
      <c r="C60" s="11">
        <v>6.3778520388215574</v>
      </c>
      <c r="D60">
        <f t="shared" si="12"/>
        <v>6.6778520388215572</v>
      </c>
      <c r="E60">
        <f t="shared" si="13"/>
        <v>605.89594368804796</v>
      </c>
      <c r="F60">
        <f t="shared" si="14"/>
        <v>5.6228665468277308</v>
      </c>
      <c r="G60">
        <f t="shared" si="15"/>
        <v>3.4357138721276929E-2</v>
      </c>
      <c r="H60">
        <f t="shared" si="16"/>
        <v>6.7122091775428343</v>
      </c>
      <c r="I60">
        <f t="shared" si="17"/>
        <v>63345.874556370429</v>
      </c>
      <c r="J60">
        <f t="shared" si="21"/>
        <v>2.020450156264312E-4</v>
      </c>
      <c r="K60" s="1">
        <f t="shared" si="22"/>
        <v>5.0511253906607798E-3</v>
      </c>
      <c r="L60" s="12">
        <f t="shared" si="23"/>
        <v>-1.943334382303874E-12</v>
      </c>
      <c r="M60" s="20">
        <f t="shared" si="18"/>
        <v>1.7086354741503982</v>
      </c>
      <c r="N60" s="20">
        <f t="shared" si="19"/>
        <v>5.1069749841041645</v>
      </c>
      <c r="O60">
        <v>650</v>
      </c>
      <c r="T60">
        <v>1150</v>
      </c>
      <c r="U60">
        <v>0.52000000000000013</v>
      </c>
      <c r="V60">
        <v>6.8341354334093003</v>
      </c>
      <c r="Z60">
        <v>6.6699115232524759</v>
      </c>
    </row>
    <row r="61" spans="1:26" ht="16.5" x14ac:dyDescent="0.3">
      <c r="A61">
        <v>425</v>
      </c>
      <c r="B61">
        <f t="shared" si="20"/>
        <v>0.31250000000000017</v>
      </c>
      <c r="C61" s="11">
        <v>6.3703410507577543</v>
      </c>
      <c r="D61">
        <f t="shared" si="12"/>
        <v>6.6828410507577543</v>
      </c>
      <c r="E61">
        <f t="shared" si="13"/>
        <v>605.18239982198668</v>
      </c>
      <c r="F61">
        <f t="shared" si="14"/>
        <v>5.6170277375056088</v>
      </c>
      <c r="G61">
        <f t="shared" si="15"/>
        <v>3.4438204456389419E-2</v>
      </c>
      <c r="H61">
        <f t="shared" si="16"/>
        <v>6.7172792552141436</v>
      </c>
      <c r="I61">
        <f t="shared" si="17"/>
        <v>63227.443928650406</v>
      </c>
      <c r="J61">
        <f t="shared" si="21"/>
        <v>2.0280310693020079E-4</v>
      </c>
      <c r="K61" s="1">
        <f t="shared" si="22"/>
        <v>5.0700776732550195E-3</v>
      </c>
      <c r="L61" s="12">
        <f t="shared" si="23"/>
        <v>-1.9459989175629744E-12</v>
      </c>
      <c r="M61" s="20">
        <f t="shared" si="18"/>
        <v>1.7211354741503981</v>
      </c>
      <c r="N61" s="20">
        <f t="shared" si="19"/>
        <v>5.1194749841041647</v>
      </c>
      <c r="O61">
        <v>675</v>
      </c>
    </row>
    <row r="62" spans="1:26" ht="16.5" x14ac:dyDescent="0.3">
      <c r="A62">
        <v>450</v>
      </c>
      <c r="B62">
        <f t="shared" si="20"/>
        <v>0.32500000000000018</v>
      </c>
      <c r="C62" s="11">
        <v>6.3628489796085148</v>
      </c>
      <c r="D62">
        <f t="shared" si="12"/>
        <v>6.687848979608515</v>
      </c>
      <c r="E62">
        <f t="shared" si="13"/>
        <v>604.47065306280888</v>
      </c>
      <c r="F62">
        <f t="shared" si="14"/>
        <v>5.6112020113497003</v>
      </c>
      <c r="G62">
        <f t="shared" si="15"/>
        <v>3.4519352187722022E-2</v>
      </c>
      <c r="H62">
        <f t="shared" si="16"/>
        <v>6.7223683317962371</v>
      </c>
      <c r="I62">
        <f t="shared" si="17"/>
        <v>63109.38727360651</v>
      </c>
      <c r="J62">
        <f t="shared" si="21"/>
        <v>2.0356306336147397E-4</v>
      </c>
      <c r="K62" s="1">
        <f t="shared" si="22"/>
        <v>5.0890765840368498E-3</v>
      </c>
      <c r="L62" s="12">
        <f t="shared" si="23"/>
        <v>-1.943334382303874E-12</v>
      </c>
      <c r="M62" s="20">
        <f t="shared" si="18"/>
        <v>1.7336354741503981</v>
      </c>
      <c r="N62" s="20">
        <f t="shared" si="19"/>
        <v>5.1319749841041649</v>
      </c>
      <c r="O62">
        <v>700</v>
      </c>
    </row>
    <row r="63" spans="1:26" ht="16.5" x14ac:dyDescent="0.3">
      <c r="A63">
        <v>475</v>
      </c>
      <c r="B63">
        <f t="shared" si="20"/>
        <v>0.33750000000000019</v>
      </c>
      <c r="C63" s="11">
        <v>6.3553758730907965</v>
      </c>
      <c r="D63">
        <f t="shared" si="12"/>
        <v>6.6928758730907969</v>
      </c>
      <c r="E63">
        <f t="shared" si="13"/>
        <v>603.76070794362568</v>
      </c>
      <c r="F63">
        <f t="shared" si="14"/>
        <v>5.6053894170785918</v>
      </c>
      <c r="G63">
        <f t="shared" si="15"/>
        <v>3.4600580574178093E-2</v>
      </c>
      <c r="H63">
        <f t="shared" si="16"/>
        <v>6.7274764536649752</v>
      </c>
      <c r="I63">
        <f t="shared" si="17"/>
        <v>62991.704827224974</v>
      </c>
      <c r="J63">
        <f t="shared" si="21"/>
        <v>2.0432487482718598E-4</v>
      </c>
      <c r="K63" s="1">
        <f t="shared" si="22"/>
        <v>5.1081218706796492E-3</v>
      </c>
      <c r="L63" s="12">
        <f t="shared" si="23"/>
        <v>-1.9415580254644738E-12</v>
      </c>
      <c r="M63" s="20">
        <f t="shared" si="18"/>
        <v>1.746135474150398</v>
      </c>
      <c r="N63" s="20">
        <f t="shared" si="19"/>
        <v>5.144474984104165</v>
      </c>
      <c r="O63">
        <v>725</v>
      </c>
    </row>
    <row r="64" spans="1:26" ht="16.5" x14ac:dyDescent="0.3">
      <c r="A64">
        <v>500</v>
      </c>
      <c r="B64">
        <f t="shared" si="20"/>
        <v>0.3500000000000002</v>
      </c>
      <c r="C64" s="11">
        <v>6.3479217786763789</v>
      </c>
      <c r="D64">
        <f t="shared" si="12"/>
        <v>6.6979217786763794</v>
      </c>
      <c r="E64">
        <f t="shared" si="13"/>
        <v>603.05256897425602</v>
      </c>
      <c r="F64">
        <f t="shared" si="14"/>
        <v>5.5995900032400421</v>
      </c>
      <c r="G64">
        <f t="shared" si="15"/>
        <v>3.4681888262987022E-2</v>
      </c>
      <c r="H64">
        <f t="shared" si="16"/>
        <v>6.7326036669393661</v>
      </c>
      <c r="I64">
        <f t="shared" si="17"/>
        <v>62874.396820371876</v>
      </c>
      <c r="J64">
        <f t="shared" si="21"/>
        <v>2.0508853105319217E-4</v>
      </c>
      <c r="K64" s="1">
        <f t="shared" si="22"/>
        <v>5.1272132763298039E-3</v>
      </c>
      <c r="L64" s="12">
        <f t="shared" si="23"/>
        <v>-1.9388934902053734E-12</v>
      </c>
      <c r="M64" s="20">
        <f t="shared" si="18"/>
        <v>1.758635474150398</v>
      </c>
      <c r="N64" s="20">
        <f t="shared" si="19"/>
        <v>5.1569749841041652</v>
      </c>
      <c r="O64">
        <v>750</v>
      </c>
    </row>
    <row r="65" spans="1:15" ht="16.5" x14ac:dyDescent="0.3">
      <c r="A65">
        <v>525</v>
      </c>
      <c r="B65">
        <f t="shared" si="20"/>
        <v>0.36250000000000021</v>
      </c>
      <c r="C65" s="11">
        <v>6.3404867435872809</v>
      </c>
      <c r="D65">
        <f t="shared" si="12"/>
        <v>6.7029867435872807</v>
      </c>
      <c r="E65">
        <f t="shared" si="13"/>
        <v>602.34624064079173</v>
      </c>
      <c r="F65">
        <f t="shared" si="14"/>
        <v>5.5938038182068883</v>
      </c>
      <c r="G65">
        <f t="shared" si="15"/>
        <v>3.476327388974719E-2</v>
      </c>
      <c r="H65">
        <f t="shared" si="16"/>
        <v>6.737750017477028</v>
      </c>
      <c r="I65">
        <f t="shared" si="17"/>
        <v>62757.463478745776</v>
      </c>
      <c r="J65">
        <f t="shared" si="21"/>
        <v>2.0585402158384305E-4</v>
      </c>
      <c r="K65" s="1">
        <f t="shared" si="22"/>
        <v>5.1463505395960762E-3</v>
      </c>
      <c r="L65" s="12">
        <f t="shared" si="23"/>
        <v>-1.9344525981068728E-12</v>
      </c>
      <c r="M65" s="20">
        <f t="shared" si="18"/>
        <v>1.7711354741503982</v>
      </c>
      <c r="N65" s="20">
        <f t="shared" si="19"/>
        <v>5.1694749841041645</v>
      </c>
      <c r="O65">
        <v>775</v>
      </c>
    </row>
    <row r="66" spans="1:15" ht="16.5" x14ac:dyDescent="0.3">
      <c r="A66">
        <v>550</v>
      </c>
      <c r="B66">
        <f t="shared" si="20"/>
        <v>0.37500000000000022</v>
      </c>
      <c r="C66" s="11">
        <v>6.3330708147911654</v>
      </c>
      <c r="D66">
        <f t="shared" si="12"/>
        <v>6.7080708147911654</v>
      </c>
      <c r="E66">
        <f t="shared" si="13"/>
        <v>601.64172740516074</v>
      </c>
      <c r="F66">
        <f t="shared" si="14"/>
        <v>5.5880309101729138</v>
      </c>
      <c r="G66">
        <f t="shared" si="15"/>
        <v>3.4844736078471411E-2</v>
      </c>
      <c r="H66">
        <f t="shared" si="16"/>
        <v>6.742915550869637</v>
      </c>
      <c r="I66">
        <f t="shared" si="17"/>
        <v>62640.905022830186</v>
      </c>
      <c r="J66">
        <f t="shared" si="21"/>
        <v>2.0662133578158636E-4</v>
      </c>
      <c r="K66" s="1">
        <f t="shared" si="22"/>
        <v>5.1655333945396587E-3</v>
      </c>
      <c r="L66" s="12">
        <f t="shared" si="23"/>
        <v>-1.9308998844280723E-12</v>
      </c>
      <c r="M66" s="20">
        <f t="shared" si="18"/>
        <v>1.7836354741503981</v>
      </c>
      <c r="N66" s="20">
        <f t="shared" si="19"/>
        <v>5.1819749841041647</v>
      </c>
      <c r="O66">
        <v>800</v>
      </c>
    </row>
    <row r="67" spans="1:15" ht="16.5" x14ac:dyDescent="0.3">
      <c r="A67">
        <v>575</v>
      </c>
      <c r="B67">
        <f t="shared" si="20"/>
        <v>0.38750000000000023</v>
      </c>
      <c r="C67" s="11">
        <v>6.3256740389967456</v>
      </c>
      <c r="D67">
        <f t="shared" si="12"/>
        <v>6.7131740389967458</v>
      </c>
      <c r="E67">
        <f t="shared" si="13"/>
        <v>600.93903370469081</v>
      </c>
      <c r="F67">
        <f t="shared" si="14"/>
        <v>5.5822713271487316</v>
      </c>
      <c r="G67">
        <f t="shared" si="15"/>
        <v>3.4926273441634251E-2</v>
      </c>
      <c r="H67">
        <f t="shared" si="16"/>
        <v>6.74810031243838</v>
      </c>
      <c r="I67">
        <f t="shared" si="17"/>
        <v>62524.721667846497</v>
      </c>
      <c r="J67">
        <f t="shared" si="21"/>
        <v>2.0739046282659579E-4</v>
      </c>
      <c r="K67" s="1">
        <f t="shared" si="22"/>
        <v>5.1847615706648951E-3</v>
      </c>
      <c r="L67" s="12">
        <f t="shared" si="23"/>
        <v>-1.922018100231071E-12</v>
      </c>
      <c r="M67" s="20">
        <f t="shared" si="18"/>
        <v>1.7961354741503981</v>
      </c>
      <c r="N67" s="20">
        <f t="shared" si="19"/>
        <v>5.1944749841041649</v>
      </c>
      <c r="O67">
        <v>825</v>
      </c>
    </row>
    <row r="68" spans="1:15" ht="16.5" x14ac:dyDescent="0.3">
      <c r="A68">
        <v>600</v>
      </c>
      <c r="B68">
        <f t="shared" si="20"/>
        <v>0.40000000000000024</v>
      </c>
      <c r="C68" s="11">
        <v>6.3182964626491538</v>
      </c>
      <c r="D68">
        <f t="shared" si="12"/>
        <v>6.7182964626491541</v>
      </c>
      <c r="E68">
        <f t="shared" si="13"/>
        <v>600.23816395166966</v>
      </c>
      <c r="F68">
        <f t="shared" si="14"/>
        <v>5.5765251169576278</v>
      </c>
      <c r="G68">
        <f t="shared" si="15"/>
        <v>3.5007884580221992E-2</v>
      </c>
      <c r="H68">
        <f t="shared" si="16"/>
        <v>6.7533043472293759</v>
      </c>
      <c r="I68">
        <f t="shared" si="17"/>
        <v>62408.913623706518</v>
      </c>
      <c r="J68">
        <f t="shared" si="21"/>
        <v>2.0816139171642877E-4</v>
      </c>
      <c r="K68" s="1">
        <f t="shared" si="22"/>
        <v>5.2040347929107195E-3</v>
      </c>
      <c r="L68" s="12">
        <f t="shared" si="23"/>
        <v>-1.91491267287347E-12</v>
      </c>
      <c r="M68" s="20">
        <f t="shared" si="18"/>
        <v>1.8086354741503983</v>
      </c>
      <c r="N68" s="20">
        <f t="shared" si="19"/>
        <v>5.206974984104165</v>
      </c>
      <c r="O68">
        <v>850</v>
      </c>
    </row>
    <row r="71" spans="1:15" x14ac:dyDescent="0.25">
      <c r="A71" t="s">
        <v>68</v>
      </c>
    </row>
    <row r="72" spans="1:15" x14ac:dyDescent="0.25">
      <c r="A72" t="s">
        <v>20</v>
      </c>
      <c r="B72" t="s">
        <v>21</v>
      </c>
      <c r="C72" t="s">
        <v>22</v>
      </c>
      <c r="D72" t="s">
        <v>35</v>
      </c>
      <c r="E72" t="s">
        <v>23</v>
      </c>
      <c r="F72" t="s">
        <v>27</v>
      </c>
      <c r="G72" t="s">
        <v>65</v>
      </c>
      <c r="H72" t="s">
        <v>29</v>
      </c>
      <c r="I72" t="s">
        <v>28</v>
      </c>
      <c r="J72" t="s">
        <v>59</v>
      </c>
      <c r="K72" t="s">
        <v>66</v>
      </c>
      <c r="L72" t="s">
        <v>61</v>
      </c>
      <c r="M72" t="s">
        <v>36</v>
      </c>
      <c r="N72" t="s">
        <v>37</v>
      </c>
      <c r="O72" t="s">
        <v>20</v>
      </c>
    </row>
    <row r="73" spans="1:15" x14ac:dyDescent="0.25">
      <c r="A73">
        <v>0</v>
      </c>
      <c r="B73">
        <v>0.1</v>
      </c>
      <c r="C73" s="11">
        <v>6.3166313944488577</v>
      </c>
      <c r="D73">
        <f>B73+C73</f>
        <v>6.4166313944488573</v>
      </c>
      <c r="E73">
        <f>$H$2*C73</f>
        <v>347.41472669468715</v>
      </c>
      <c r="F73">
        <f>E73/($H$2+2*C73)</f>
        <v>5.1367435544114661</v>
      </c>
      <c r="G73">
        <f>($H$5/E73)^2/(2*$K$8)</f>
        <v>0.2170016236778084</v>
      </c>
      <c r="H73">
        <f>D73+G73</f>
        <v>6.6336330181266661</v>
      </c>
      <c r="I73">
        <f>($K$9/$H$4)*E73*((F73)^0.667)</f>
        <v>76941.033549961314</v>
      </c>
      <c r="L73" s="12">
        <f>H73-$H$23</f>
        <v>3.8538949809208134E-11</v>
      </c>
      <c r="M73" s="20">
        <f>B73+$R$3</f>
        <v>2.6871484511221424</v>
      </c>
      <c r="N73" s="20">
        <f>B73+$R$4</f>
        <v>4.7306717012718504</v>
      </c>
      <c r="O73">
        <v>250</v>
      </c>
    </row>
    <row r="74" spans="1:15" ht="16.5" x14ac:dyDescent="0.3">
      <c r="A74">
        <v>25</v>
      </c>
      <c r="B74">
        <f>B73+$H$3*(A74-A73)</f>
        <v>0.11875000000000001</v>
      </c>
      <c r="C74" s="11">
        <v>6.3041672916202725</v>
      </c>
      <c r="D74">
        <f t="shared" ref="D74:D89" si="24">B74+C74</f>
        <v>6.4229172916202728</v>
      </c>
      <c r="E74">
        <f t="shared" ref="E74:E89" si="25">$H$2*C74</f>
        <v>346.72920103911497</v>
      </c>
      <c r="F74">
        <f t="shared" ref="F74:F89" si="26">E74/($H$2+2*C74)</f>
        <v>5.1284978867837072</v>
      </c>
      <c r="G74">
        <f t="shared" ref="G74:G89" si="27">($H$5/E74)^2/(2*$K$8)</f>
        <v>0.21786054896208876</v>
      </c>
      <c r="H74">
        <f t="shared" ref="H74:H89" si="28">D74+G74</f>
        <v>6.6407778405823619</v>
      </c>
      <c r="I74">
        <f t="shared" ref="I74:I89" si="29">($K$9/$H$4)*E74*((F74)^0.667)</f>
        <v>76706.972534038941</v>
      </c>
      <c r="J74">
        <f>($H$5^2)/((I73+I74)/2)^2</f>
        <v>2.8579289819705719E-4</v>
      </c>
      <c r="K74" s="1">
        <f>J74*(A74-A73)</f>
        <v>7.1448224549264302E-3</v>
      </c>
      <c r="L74" s="12">
        <f>H74-(H73+K74)</f>
        <v>7.6916251146030845E-13</v>
      </c>
      <c r="M74" s="20">
        <f t="shared" ref="M74:M89" si="30">B74+$R$3</f>
        <v>2.7058984511221422</v>
      </c>
      <c r="N74" s="20">
        <f t="shared" ref="N74:N89" si="31">B74+$R$4</f>
        <v>4.7494217012718511</v>
      </c>
      <c r="O74">
        <v>275</v>
      </c>
    </row>
    <row r="75" spans="1:15" ht="16.5" x14ac:dyDescent="0.3">
      <c r="A75">
        <v>50</v>
      </c>
      <c r="B75">
        <f t="shared" ref="B75:B89" si="32">B74+$H$3*(A75-A74)</f>
        <v>0.13750000000000001</v>
      </c>
      <c r="C75" s="11">
        <v>6.2917446010129439</v>
      </c>
      <c r="D75">
        <f t="shared" si="24"/>
        <v>6.429244601012944</v>
      </c>
      <c r="E75">
        <f t="shared" si="25"/>
        <v>346.04595305571189</v>
      </c>
      <c r="F75">
        <f t="shared" si="26"/>
        <v>5.1202735629893876</v>
      </c>
      <c r="G75">
        <f t="shared" si="27"/>
        <v>0.21872170471371963</v>
      </c>
      <c r="H75">
        <f t="shared" si="28"/>
        <v>6.6479663057266638</v>
      </c>
      <c r="I75">
        <f t="shared" si="29"/>
        <v>76473.908733397155</v>
      </c>
      <c r="J75">
        <f t="shared" ref="J75:J89" si="33">($H$5^2)/((I74+I75)/2)^2</f>
        <v>2.8753860574878717E-4</v>
      </c>
      <c r="K75" s="1">
        <f t="shared" ref="K75:K89" si="34">J75*(A75-A74)</f>
        <v>7.1884651437196792E-3</v>
      </c>
      <c r="L75" s="12">
        <f t="shared" ref="L75:L89" si="35">H75-(H74+K75)</f>
        <v>5.8264504332328215E-13</v>
      </c>
      <c r="M75" s="20">
        <f t="shared" si="30"/>
        <v>2.7246484511221425</v>
      </c>
      <c r="N75" s="20">
        <f t="shared" si="31"/>
        <v>4.768171701271851</v>
      </c>
      <c r="O75">
        <v>300</v>
      </c>
    </row>
    <row r="76" spans="1:15" ht="16.5" x14ac:dyDescent="0.3">
      <c r="A76">
        <v>75</v>
      </c>
      <c r="B76">
        <f t="shared" si="32"/>
        <v>0.15625</v>
      </c>
      <c r="C76" s="11">
        <v>6.2793635620685873</v>
      </c>
      <c r="D76">
        <f t="shared" si="24"/>
        <v>6.4356135620685873</v>
      </c>
      <c r="E76">
        <f t="shared" si="25"/>
        <v>345.3649959137723</v>
      </c>
      <c r="F76">
        <f t="shared" si="26"/>
        <v>5.1120707955194931</v>
      </c>
      <c r="G76">
        <f t="shared" si="27"/>
        <v>0.21958506342986961</v>
      </c>
      <c r="H76">
        <f t="shared" si="28"/>
        <v>6.655198625498457</v>
      </c>
      <c r="I76">
        <f t="shared" si="29"/>
        <v>76241.844799269078</v>
      </c>
      <c r="J76">
        <f t="shared" si="33"/>
        <v>2.8929279085581185E-4</v>
      </c>
      <c r="K76" s="1">
        <f t="shared" si="34"/>
        <v>7.2323197713952958E-3</v>
      </c>
      <c r="L76" s="12">
        <f t="shared" si="35"/>
        <v>3.979039320256561E-13</v>
      </c>
      <c r="M76" s="20">
        <f t="shared" si="30"/>
        <v>2.7433984511221423</v>
      </c>
      <c r="N76" s="20">
        <f t="shared" si="31"/>
        <v>4.7869217012718508</v>
      </c>
      <c r="O76">
        <v>325</v>
      </c>
    </row>
    <row r="77" spans="1:15" ht="16.5" x14ac:dyDescent="0.3">
      <c r="A77">
        <v>100</v>
      </c>
      <c r="B77">
        <f t="shared" si="32"/>
        <v>0.17499999999999999</v>
      </c>
      <c r="C77" s="11">
        <v>6.2670244140604376</v>
      </c>
      <c r="D77">
        <f t="shared" si="24"/>
        <v>6.4420244140604375</v>
      </c>
      <c r="E77">
        <f t="shared" si="25"/>
        <v>344.68634277332404</v>
      </c>
      <c r="F77">
        <f t="shared" si="26"/>
        <v>5.1038897971388648</v>
      </c>
      <c r="G77">
        <f t="shared" si="27"/>
        <v>0.22045059698443184</v>
      </c>
      <c r="H77">
        <f t="shared" si="28"/>
        <v>6.6624750110448696</v>
      </c>
      <c r="I77">
        <f t="shared" si="29"/>
        <v>76010.783363977826</v>
      </c>
      <c r="J77">
        <f t="shared" si="33"/>
        <v>2.9105542184774572E-4</v>
      </c>
      <c r="K77" s="1">
        <f t="shared" si="34"/>
        <v>7.2763855461936431E-3</v>
      </c>
      <c r="L77" s="12">
        <f t="shared" si="35"/>
        <v>2.1938006966593093E-13</v>
      </c>
      <c r="M77" s="20">
        <f t="shared" si="30"/>
        <v>2.7621484511221421</v>
      </c>
      <c r="N77" s="20">
        <f t="shared" si="31"/>
        <v>4.8056717012718506</v>
      </c>
      <c r="O77">
        <v>350</v>
      </c>
    </row>
    <row r="78" spans="1:15" ht="16.5" x14ac:dyDescent="0.3">
      <c r="A78">
        <v>125</v>
      </c>
      <c r="B78">
        <f t="shared" si="32"/>
        <v>0.19374999999999998</v>
      </c>
      <c r="C78" s="11">
        <v>6.254727396051984</v>
      </c>
      <c r="D78">
        <f t="shared" si="24"/>
        <v>6.4484773960519837</v>
      </c>
      <c r="E78">
        <f t="shared" si="25"/>
        <v>344.01000678285914</v>
      </c>
      <c r="F78">
        <f t="shared" si="26"/>
        <v>5.0957307808549386</v>
      </c>
      <c r="G78">
        <f t="shared" si="27"/>
        <v>0.22131827662503531</v>
      </c>
      <c r="H78">
        <f t="shared" si="28"/>
        <v>6.6697956726770187</v>
      </c>
      <c r="I78">
        <f t="shared" si="29"/>
        <v>75780.727040286481</v>
      </c>
      <c r="J78">
        <f t="shared" si="33"/>
        <v>2.9282646528436306E-4</v>
      </c>
      <c r="K78" s="1">
        <f t="shared" si="34"/>
        <v>7.320661632109076E-3</v>
      </c>
      <c r="L78" s="12">
        <f t="shared" si="35"/>
        <v>3.9968028886505635E-14</v>
      </c>
      <c r="M78" s="20">
        <f t="shared" si="30"/>
        <v>2.7808984511221424</v>
      </c>
      <c r="N78" s="20">
        <f t="shared" si="31"/>
        <v>4.8244217012718504</v>
      </c>
      <c r="O78">
        <v>375</v>
      </c>
    </row>
    <row r="79" spans="1:15" ht="16.5" x14ac:dyDescent="0.3">
      <c r="A79">
        <v>150</v>
      </c>
      <c r="B79">
        <f t="shared" si="32"/>
        <v>0.21249999999999997</v>
      </c>
      <c r="C79" s="11">
        <v>6.2424727468549781</v>
      </c>
      <c r="D79">
        <f t="shared" si="24"/>
        <v>6.4549727468549785</v>
      </c>
      <c r="E79">
        <f t="shared" si="25"/>
        <v>343.33600107702381</v>
      </c>
      <c r="F79">
        <f t="shared" si="26"/>
        <v>5.0875939598858384</v>
      </c>
      <c r="G79">
        <f t="shared" si="27"/>
        <v>0.22218807297024834</v>
      </c>
      <c r="H79">
        <f t="shared" si="28"/>
        <v>6.677160819825227</v>
      </c>
      <c r="I79">
        <f t="shared" si="29"/>
        <v>75551.678420739947</v>
      </c>
      <c r="J79">
        <f t="shared" si="33"/>
        <v>2.9460588593371536E-4</v>
      </c>
      <c r="K79" s="1">
        <f t="shared" si="34"/>
        <v>7.3651471483428838E-3</v>
      </c>
      <c r="L79" s="12">
        <f t="shared" si="35"/>
        <v>-1.3411494137471891E-13</v>
      </c>
      <c r="M79" s="20">
        <f t="shared" si="30"/>
        <v>2.7996484511221422</v>
      </c>
      <c r="N79" s="20">
        <f t="shared" si="31"/>
        <v>4.8431717012718511</v>
      </c>
      <c r="O79">
        <v>400</v>
      </c>
    </row>
    <row r="80" spans="1:15" ht="16.5" x14ac:dyDescent="0.3">
      <c r="A80">
        <v>175</v>
      </c>
      <c r="B80">
        <f t="shared" si="32"/>
        <v>0.23124999999999996</v>
      </c>
      <c r="C80" s="11">
        <v>6.2302607049867067</v>
      </c>
      <c r="D80">
        <f t="shared" si="24"/>
        <v>6.4615107049867069</v>
      </c>
      <c r="E80">
        <f t="shared" si="25"/>
        <v>342.66433877426886</v>
      </c>
      <c r="F80">
        <f t="shared" si="26"/>
        <v>5.0794795476278241</v>
      </c>
      <c r="G80">
        <f t="shared" si="27"/>
        <v>0.22305995600698034</v>
      </c>
      <c r="H80">
        <f t="shared" si="28"/>
        <v>6.6845706609936872</v>
      </c>
      <c r="I80">
        <f t="shared" si="29"/>
        <v>75323.640076999945</v>
      </c>
      <c r="J80">
        <f t="shared" si="33"/>
        <v>2.9639364675057247E-4</v>
      </c>
      <c r="K80" s="1">
        <f t="shared" si="34"/>
        <v>7.4098411687643119E-3</v>
      </c>
      <c r="L80" s="12">
        <f t="shared" si="35"/>
        <v>-3.0375701953744283E-13</v>
      </c>
      <c r="M80" s="20">
        <f t="shared" si="30"/>
        <v>2.8183984511221425</v>
      </c>
      <c r="N80" s="20">
        <f t="shared" si="31"/>
        <v>4.861921701271851</v>
      </c>
      <c r="O80">
        <v>425</v>
      </c>
    </row>
    <row r="81" spans="1:15" ht="16.5" x14ac:dyDescent="0.3">
      <c r="A81">
        <v>200</v>
      </c>
      <c r="B81">
        <f t="shared" si="32"/>
        <v>0.24999999999999994</v>
      </c>
      <c r="C81" s="11">
        <v>6.2180915086265047</v>
      </c>
      <c r="D81">
        <f t="shared" si="24"/>
        <v>6.4680915086265047</v>
      </c>
      <c r="E81">
        <f t="shared" si="25"/>
        <v>341.99503297445779</v>
      </c>
      <c r="F81">
        <f t="shared" si="26"/>
        <v>5.0713877576220625</v>
      </c>
      <c r="G81">
        <f t="shared" si="27"/>
        <v>0.22393389508809164</v>
      </c>
      <c r="H81">
        <f t="shared" si="28"/>
        <v>6.6920254037145961</v>
      </c>
      <c r="I81">
        <f t="shared" si="29"/>
        <v>75096.614559171911</v>
      </c>
      <c r="J81">
        <f t="shared" si="33"/>
        <v>2.9818970885521614E-4</v>
      </c>
      <c r="K81" s="1">
        <f t="shared" si="34"/>
        <v>7.4547427213804036E-3</v>
      </c>
      <c r="L81" s="12">
        <f t="shared" si="35"/>
        <v>-4.716227408607665E-13</v>
      </c>
      <c r="M81" s="20">
        <f t="shared" si="30"/>
        <v>2.8371484511221423</v>
      </c>
      <c r="N81" s="20">
        <f t="shared" si="31"/>
        <v>4.8806717012718508</v>
      </c>
      <c r="O81">
        <v>450</v>
      </c>
    </row>
    <row r="82" spans="1:15" ht="16.5" x14ac:dyDescent="0.3">
      <c r="A82">
        <v>225</v>
      </c>
      <c r="B82">
        <f t="shared" si="32"/>
        <v>0.26874999999999993</v>
      </c>
      <c r="C82" s="11">
        <v>6.2059653955715639</v>
      </c>
      <c r="D82">
        <f t="shared" si="24"/>
        <v>6.4747153955715637</v>
      </c>
      <c r="E82">
        <f t="shared" si="25"/>
        <v>341.32809675643603</v>
      </c>
      <c r="F82">
        <f t="shared" si="26"/>
        <v>5.0633188035207732</v>
      </c>
      <c r="G82">
        <f t="shared" si="27"/>
        <v>0.22480985893021349</v>
      </c>
      <c r="H82">
        <f t="shared" si="28"/>
        <v>6.6995252545017774</v>
      </c>
      <c r="I82">
        <f t="shared" si="29"/>
        <v>74870.604395125047</v>
      </c>
      <c r="J82">
        <f t="shared" si="33"/>
        <v>2.9999403151260485E-4</v>
      </c>
      <c r="K82" s="1">
        <f t="shared" si="34"/>
        <v>7.499850787815121E-3</v>
      </c>
      <c r="L82" s="12">
        <f t="shared" si="35"/>
        <v>-6.3415939166588942E-13</v>
      </c>
      <c r="M82" s="20">
        <f t="shared" si="30"/>
        <v>2.8558984511221421</v>
      </c>
      <c r="N82" s="20">
        <f t="shared" si="31"/>
        <v>4.8994217012718506</v>
      </c>
      <c r="O82">
        <v>475</v>
      </c>
    </row>
    <row r="83" spans="1:15" ht="16.5" x14ac:dyDescent="0.3">
      <c r="A83">
        <v>250</v>
      </c>
      <c r="B83">
        <f t="shared" si="32"/>
        <v>0.28749999999999992</v>
      </c>
      <c r="C83" s="11">
        <v>6.1938826031919945</v>
      </c>
      <c r="D83">
        <f t="shared" si="24"/>
        <v>6.4813826031919941</v>
      </c>
      <c r="E83">
        <f t="shared" si="25"/>
        <v>340.66354317555971</v>
      </c>
      <c r="F83">
        <f t="shared" si="26"/>
        <v>5.0552728990527038</v>
      </c>
      <c r="G83">
        <f t="shared" si="27"/>
        <v>0.22568781561178736</v>
      </c>
      <c r="H83">
        <f t="shared" si="28"/>
        <v>6.7070704188037817</v>
      </c>
      <c r="I83">
        <f t="shared" si="29"/>
        <v>74645.612089805174</v>
      </c>
      <c r="J83">
        <f t="shared" si="33"/>
        <v>3.0180657211193471E-4</v>
      </c>
      <c r="K83" s="1">
        <f t="shared" si="34"/>
        <v>7.545164302798368E-3</v>
      </c>
      <c r="L83" s="12">
        <f t="shared" si="35"/>
        <v>-7.9403150721191196E-13</v>
      </c>
      <c r="M83" s="20">
        <f t="shared" si="30"/>
        <v>2.8746484511221424</v>
      </c>
      <c r="N83" s="20">
        <f t="shared" si="31"/>
        <v>4.9181717012718504</v>
      </c>
      <c r="O83">
        <v>500</v>
      </c>
    </row>
    <row r="84" spans="1:15" ht="16.5" x14ac:dyDescent="0.3">
      <c r="A84">
        <v>275</v>
      </c>
      <c r="B84">
        <f t="shared" si="32"/>
        <v>0.30624999999999991</v>
      </c>
      <c r="C84" s="11">
        <v>6.1818433683851719</v>
      </c>
      <c r="D84">
        <f t="shared" si="24"/>
        <v>6.4880933683851723</v>
      </c>
      <c r="E84">
        <f t="shared" si="25"/>
        <v>340.00138526118445</v>
      </c>
      <c r="F84">
        <f t="shared" si="26"/>
        <v>5.0472502579879626</v>
      </c>
      <c r="G84">
        <f t="shared" si="27"/>
        <v>0.22656773257132953</v>
      </c>
      <c r="H84">
        <f t="shared" si="28"/>
        <v>6.7146611009565014</v>
      </c>
      <c r="I84">
        <f t="shared" si="29"/>
        <v>74421.640124540529</v>
      </c>
      <c r="J84">
        <f t="shared" si="33"/>
        <v>3.0362728614661926E-4</v>
      </c>
      <c r="K84" s="1">
        <f t="shared" si="34"/>
        <v>7.590682153665481E-3</v>
      </c>
      <c r="L84" s="12">
        <f t="shared" si="35"/>
        <v>-9.4591001698063337E-13</v>
      </c>
      <c r="M84" s="20">
        <f t="shared" si="30"/>
        <v>2.8933984511221422</v>
      </c>
      <c r="N84" s="20">
        <f t="shared" si="31"/>
        <v>4.9369217012718511</v>
      </c>
      <c r="O84">
        <v>525</v>
      </c>
    </row>
    <row r="85" spans="1:15" ht="16.5" x14ac:dyDescent="0.3">
      <c r="A85">
        <v>300</v>
      </c>
      <c r="B85">
        <f t="shared" si="32"/>
        <v>0.3249999999999999</v>
      </c>
      <c r="C85" s="11">
        <v>6.1698479275293421</v>
      </c>
      <c r="D85">
        <f t="shared" si="24"/>
        <v>6.4948479275293423</v>
      </c>
      <c r="E85">
        <f t="shared" si="25"/>
        <v>339.34163601411382</v>
      </c>
      <c r="F85">
        <f t="shared" si="26"/>
        <v>5.0392510941022</v>
      </c>
      <c r="G85">
        <f t="shared" si="27"/>
        <v>0.22744957660592816</v>
      </c>
      <c r="H85">
        <f t="shared" si="28"/>
        <v>6.7222975041352706</v>
      </c>
      <c r="I85">
        <f t="shared" si="29"/>
        <v>74198.690956340433</v>
      </c>
      <c r="J85">
        <f t="shared" si="33"/>
        <v>3.0545612719471414E-4</v>
      </c>
      <c r="K85" s="1">
        <f t="shared" si="34"/>
        <v>7.6364031798678532E-3</v>
      </c>
      <c r="L85" s="12">
        <f t="shared" si="35"/>
        <v>-1.0986767051690549E-12</v>
      </c>
      <c r="M85" s="20">
        <f t="shared" si="30"/>
        <v>2.912148451122142</v>
      </c>
      <c r="N85" s="20">
        <f t="shared" si="31"/>
        <v>4.955671701271851</v>
      </c>
      <c r="O85">
        <v>550</v>
      </c>
    </row>
    <row r="86" spans="1:15" ht="16.5" x14ac:dyDescent="0.3">
      <c r="A86">
        <v>325</v>
      </c>
      <c r="B86">
        <f t="shared" si="32"/>
        <v>0.34374999999999989</v>
      </c>
      <c r="C86" s="11">
        <v>6.1578965164365442</v>
      </c>
      <c r="D86">
        <f t="shared" si="24"/>
        <v>6.5016465164365442</v>
      </c>
      <c r="E86">
        <f t="shared" si="25"/>
        <v>338.68430840400993</v>
      </c>
      <c r="F86">
        <f t="shared" si="26"/>
        <v>5.0312756211401437</v>
      </c>
      <c r="G86">
        <f t="shared" si="27"/>
        <v>0.22833331386997685</v>
      </c>
      <c r="H86">
        <f t="shared" si="28"/>
        <v>6.7299798303065215</v>
      </c>
      <c r="I86">
        <f t="shared" si="29"/>
        <v>73976.767017187827</v>
      </c>
      <c r="J86">
        <f t="shared" si="33"/>
        <v>3.0729304689980781E-4</v>
      </c>
      <c r="K86" s="1">
        <f t="shared" si="34"/>
        <v>7.6823261724951949E-3</v>
      </c>
      <c r="L86" s="12">
        <f t="shared" si="35"/>
        <v>-1.2443379659998755E-12</v>
      </c>
      <c r="M86" s="20">
        <f t="shared" si="30"/>
        <v>2.9308984511221423</v>
      </c>
      <c r="N86" s="20">
        <f t="shared" si="31"/>
        <v>4.9744217012718508</v>
      </c>
      <c r="O86">
        <v>575</v>
      </c>
    </row>
    <row r="87" spans="1:15" ht="16.5" x14ac:dyDescent="0.3">
      <c r="A87">
        <v>350</v>
      </c>
      <c r="B87">
        <f t="shared" si="32"/>
        <v>0.36249999999999988</v>
      </c>
      <c r="C87" s="11">
        <v>6.1459893703047888</v>
      </c>
      <c r="D87">
        <f t="shared" si="24"/>
        <v>6.5084893703047886</v>
      </c>
      <c r="E87">
        <f t="shared" si="25"/>
        <v>338.02941536676337</v>
      </c>
      <c r="F87">
        <f t="shared" si="26"/>
        <v>5.0233240527784968</v>
      </c>
      <c r="G87">
        <f t="shared" si="27"/>
        <v>0.22921890987415508</v>
      </c>
      <c r="H87">
        <f t="shared" si="28"/>
        <v>6.7377082801789436</v>
      </c>
      <c r="I87">
        <f t="shared" si="29"/>
        <v>73755.870713324548</v>
      </c>
      <c r="J87">
        <f t="shared" si="33"/>
        <v>3.0913799495240586E-4</v>
      </c>
      <c r="K87" s="1">
        <f t="shared" si="34"/>
        <v>7.7284498738101467E-3</v>
      </c>
      <c r="L87" s="12">
        <f t="shared" si="35"/>
        <v>-1.3882228699912957E-12</v>
      </c>
      <c r="M87" s="20">
        <f t="shared" si="30"/>
        <v>2.9496484511221421</v>
      </c>
      <c r="N87" s="20">
        <f t="shared" si="31"/>
        <v>4.9931717012718506</v>
      </c>
      <c r="O87">
        <v>600</v>
      </c>
    </row>
    <row r="88" spans="1:15" ht="16.5" x14ac:dyDescent="0.3">
      <c r="A88">
        <v>375</v>
      </c>
      <c r="B88">
        <f t="shared" si="32"/>
        <v>0.38124999999999987</v>
      </c>
      <c r="C88" s="11">
        <v>6.1341267236695591</v>
      </c>
      <c r="D88">
        <f t="shared" si="24"/>
        <v>6.5153767236695588</v>
      </c>
      <c r="E88">
        <f t="shared" si="25"/>
        <v>337.37696980182574</v>
      </c>
      <c r="F88">
        <f t="shared" si="26"/>
        <v>5.0153966025881873</v>
      </c>
      <c r="G88">
        <f t="shared" si="27"/>
        <v>0.23010632948465778</v>
      </c>
      <c r="H88">
        <f t="shared" si="28"/>
        <v>6.7454830531542163</v>
      </c>
      <c r="I88">
        <f t="shared" si="29"/>
        <v>73536.004424530824</v>
      </c>
      <c r="J88">
        <f t="shared" si="33"/>
        <v>3.109909190718318E-4</v>
      </c>
      <c r="K88" s="1">
        <f t="shared" si="34"/>
        <v>7.7747729767957945E-3</v>
      </c>
      <c r="L88" s="12">
        <f t="shared" si="35"/>
        <v>-1.5232259897857148E-12</v>
      </c>
      <c r="M88" s="20">
        <f t="shared" si="30"/>
        <v>2.968398451122142</v>
      </c>
      <c r="N88" s="20">
        <f t="shared" si="31"/>
        <v>5.0119217012718504</v>
      </c>
      <c r="O88">
        <v>625</v>
      </c>
    </row>
    <row r="89" spans="1:15" ht="16.5" x14ac:dyDescent="0.3">
      <c r="A89">
        <v>400</v>
      </c>
      <c r="B89">
        <f t="shared" si="32"/>
        <v>0.39999999999999986</v>
      </c>
      <c r="C89" s="11">
        <v>6.1223088103545935</v>
      </c>
      <c r="D89">
        <f t="shared" si="24"/>
        <v>6.522308810354593</v>
      </c>
      <c r="E89">
        <f t="shared" si="25"/>
        <v>336.72698456950263</v>
      </c>
      <c r="F89">
        <f t="shared" si="26"/>
        <v>5.0074934839959813</v>
      </c>
      <c r="G89">
        <f t="shared" si="27"/>
        <v>0.23099553692268462</v>
      </c>
      <c r="H89">
        <f t="shared" si="28"/>
        <v>6.753304347277278</v>
      </c>
      <c r="I89">
        <f t="shared" si="29"/>
        <v>73317.170503397909</v>
      </c>
      <c r="J89">
        <f t="shared" si="33"/>
        <v>3.1285176498867105E-4</v>
      </c>
      <c r="K89" s="1">
        <f t="shared" si="34"/>
        <v>7.8212941247167763E-3</v>
      </c>
      <c r="L89" s="12">
        <f t="shared" si="35"/>
        <v>-1.6546763959013333E-12</v>
      </c>
      <c r="M89" s="20">
        <f t="shared" si="30"/>
        <v>2.9871484511221422</v>
      </c>
      <c r="N89" s="20">
        <f t="shared" si="31"/>
        <v>5.0306717012718503</v>
      </c>
      <c r="O89">
        <v>650</v>
      </c>
    </row>
    <row r="92" spans="1:15" x14ac:dyDescent="0.25">
      <c r="A92" t="s">
        <v>64</v>
      </c>
      <c r="I92" t="s">
        <v>117</v>
      </c>
      <c r="J92" s="11">
        <v>1298.741294098731</v>
      </c>
      <c r="K92" t="s">
        <v>121</v>
      </c>
      <c r="L92" s="12">
        <f>H94-H89</f>
        <v>-6.0643934318704851E-11</v>
      </c>
    </row>
    <row r="93" spans="1:15" x14ac:dyDescent="0.25">
      <c r="A93" t="s">
        <v>20</v>
      </c>
      <c r="B93" t="s">
        <v>21</v>
      </c>
      <c r="C93" t="s">
        <v>22</v>
      </c>
      <c r="D93" t="s">
        <v>35</v>
      </c>
      <c r="E93" t="s">
        <v>23</v>
      </c>
      <c r="F93" t="s">
        <v>27</v>
      </c>
      <c r="G93" t="s">
        <v>65</v>
      </c>
      <c r="H93" t="s">
        <v>29</v>
      </c>
      <c r="I93" t="s">
        <v>28</v>
      </c>
      <c r="J93" t="s">
        <v>59</v>
      </c>
      <c r="K93" t="s">
        <v>66</v>
      </c>
      <c r="L93" t="s">
        <v>61</v>
      </c>
      <c r="M93" t="s">
        <v>36</v>
      </c>
      <c r="N93" t="s">
        <v>37</v>
      </c>
      <c r="O93" t="s">
        <v>20</v>
      </c>
    </row>
    <row r="94" spans="1:15" x14ac:dyDescent="0.25">
      <c r="A94">
        <v>0</v>
      </c>
      <c r="B94">
        <v>0.4</v>
      </c>
      <c r="C94" s="11">
        <v>6.1912670265904826</v>
      </c>
      <c r="D94">
        <f>B94+C94</f>
        <v>6.5912670265904829</v>
      </c>
      <c r="E94">
        <f>$B$2*C94</f>
        <v>681.03937292495311</v>
      </c>
      <c r="F94">
        <f>E94/($B$2+2*C94)</f>
        <v>5.5648412430241843</v>
      </c>
      <c r="G94">
        <f>($B$5/E94)^2/(2*$K$8)</f>
        <v>0.1620373206261512</v>
      </c>
      <c r="H94">
        <f>D94+G94</f>
        <v>6.7533043472166341</v>
      </c>
      <c r="I94">
        <f>($K$9/$B$4)*E94*((F94)^0.667)</f>
        <v>79550.003175766367</v>
      </c>
      <c r="L94" s="12">
        <f>H94-H68</f>
        <v>-1.2741807609017997E-11</v>
      </c>
      <c r="M94" s="20">
        <f>B94+$K$3</f>
        <v>2.7159794767993213</v>
      </c>
      <c r="N94" s="20">
        <f>B94+$K$4</f>
        <v>7.991185586204244</v>
      </c>
      <c r="O94">
        <v>850</v>
      </c>
    </row>
    <row r="95" spans="1:15" ht="16.5" x14ac:dyDescent="0.3">
      <c r="A95">
        <v>25</v>
      </c>
      <c r="B95">
        <f>B94+$B$3*(A95-A94)</f>
        <v>0.41000000000000003</v>
      </c>
      <c r="C95" s="11">
        <v>6.1877524978291483</v>
      </c>
      <c r="D95">
        <f t="shared" ref="D95:D106" si="36">B95+C95</f>
        <v>6.5977524978291484</v>
      </c>
      <c r="E95">
        <f t="shared" ref="E95:E106" si="37">$B$2*C95</f>
        <v>680.65277476120627</v>
      </c>
      <c r="F95">
        <f t="shared" ref="F95:F106" si="38">E95/($B$2+2*C95)</f>
        <v>5.5620017648577207</v>
      </c>
      <c r="G95">
        <f t="shared" ref="G95:G106" si="39">($B$5/E95)^2/(2*$K$8)</f>
        <v>0.16222144129108207</v>
      </c>
      <c r="H95">
        <f t="shared" ref="H95:H106" si="40">D95+G95</f>
        <v>6.7599739391202309</v>
      </c>
      <c r="I95">
        <f t="shared" ref="I95:I106" si="41">($K$9/$B$4)*E95*((F95)^0.667)</f>
        <v>79477.785005508646</v>
      </c>
      <c r="J95">
        <f>($H$5^2)/((I94+I95)/2)^2</f>
        <v>2.6678367620899671E-4</v>
      </c>
      <c r="K95" s="1">
        <f>J95*(A95-A94)</f>
        <v>6.6695919052249175E-3</v>
      </c>
      <c r="L95" s="12">
        <f>H95-(H94+K95)</f>
        <v>-1.6280310433103296E-12</v>
      </c>
      <c r="M95" s="20">
        <f t="shared" ref="M95:M106" si="42">B95+$K$3</f>
        <v>2.7259794767993215</v>
      </c>
      <c r="N95" s="20">
        <f t="shared" ref="N95:N106" si="43">B95+$K$4</f>
        <v>8.0011855862042438</v>
      </c>
      <c r="O95">
        <v>875</v>
      </c>
    </row>
    <row r="96" spans="1:15" ht="16.5" x14ac:dyDescent="0.3">
      <c r="A96">
        <v>50</v>
      </c>
      <c r="B96">
        <f t="shared" ref="B96:B106" si="44">B95+$B$3*(A96-A95)</f>
        <v>0.42000000000000004</v>
      </c>
      <c r="C96" s="11">
        <v>6.1842504172189035</v>
      </c>
      <c r="D96">
        <f t="shared" si="36"/>
        <v>6.6042504172189034</v>
      </c>
      <c r="E96">
        <f t="shared" si="37"/>
        <v>680.26754589407938</v>
      </c>
      <c r="F96">
        <f t="shared" si="38"/>
        <v>5.5591720193946648</v>
      </c>
      <c r="G96">
        <f t="shared" si="39"/>
        <v>0.162405222148606</v>
      </c>
      <c r="H96">
        <f t="shared" si="40"/>
        <v>6.7666556393675092</v>
      </c>
      <c r="I96">
        <f t="shared" si="41"/>
        <v>79405.84553753736</v>
      </c>
      <c r="J96">
        <f t="shared" ref="J96:J106" si="45">($H$5^2)/((I95+I96)/2)^2</f>
        <v>2.672680099535866E-4</v>
      </c>
      <c r="K96" s="1">
        <f t="shared" ref="K96:K106" si="46">J96*(A96-A95)</f>
        <v>6.6817002488396646E-3</v>
      </c>
      <c r="L96" s="12">
        <f t="shared" ref="L96:L106" si="47">H96-(H95+K96)</f>
        <v>-1.5614176618328202E-12</v>
      </c>
      <c r="M96" s="20">
        <f t="shared" si="42"/>
        <v>2.7359794767993213</v>
      </c>
      <c r="N96" s="20">
        <f t="shared" si="43"/>
        <v>8.0111855862042436</v>
      </c>
      <c r="O96">
        <v>900</v>
      </c>
    </row>
    <row r="97" spans="1:15" ht="16.5" x14ac:dyDescent="0.3">
      <c r="A97">
        <v>75</v>
      </c>
      <c r="B97">
        <f t="shared" si="44"/>
        <v>0.43000000000000005</v>
      </c>
      <c r="C97" s="11">
        <v>6.1807607727853373</v>
      </c>
      <c r="D97">
        <f t="shared" si="36"/>
        <v>6.610760772785337</v>
      </c>
      <c r="E97">
        <f t="shared" si="37"/>
        <v>679.88368500638705</v>
      </c>
      <c r="F97">
        <f t="shared" si="38"/>
        <v>5.556352000356422</v>
      </c>
      <c r="G97">
        <f t="shared" si="39"/>
        <v>0.16258866120712995</v>
      </c>
      <c r="H97">
        <f t="shared" si="40"/>
        <v>6.7733494339924674</v>
      </c>
      <c r="I97">
        <f t="shared" si="41"/>
        <v>79334.184289867291</v>
      </c>
      <c r="J97">
        <f t="shared" si="45"/>
        <v>2.6775178505807485E-4</v>
      </c>
      <c r="K97" s="1">
        <f t="shared" si="46"/>
        <v>6.6937946264518716E-3</v>
      </c>
      <c r="L97" s="12">
        <f t="shared" si="47"/>
        <v>-1.4939161019356106E-12</v>
      </c>
      <c r="M97" s="20">
        <f t="shared" si="42"/>
        <v>2.7459794767993215</v>
      </c>
      <c r="N97" s="20">
        <f t="shared" si="43"/>
        <v>8.0211855862042434</v>
      </c>
      <c r="O97">
        <v>925</v>
      </c>
    </row>
    <row r="98" spans="1:15" ht="16.5" x14ac:dyDescent="0.3">
      <c r="A98">
        <v>100</v>
      </c>
      <c r="B98">
        <f t="shared" si="44"/>
        <v>0.44000000000000006</v>
      </c>
      <c r="C98" s="11">
        <v>6.1772835523594525</v>
      </c>
      <c r="D98">
        <f t="shared" si="36"/>
        <v>6.6172835523594529</v>
      </c>
      <c r="E98">
        <f t="shared" si="37"/>
        <v>679.50119075953978</v>
      </c>
      <c r="F98">
        <f t="shared" si="38"/>
        <v>5.5535417012916151</v>
      </c>
      <c r="G98">
        <f t="shared" si="39"/>
        <v>0.1627717564883652</v>
      </c>
      <c r="H98">
        <f t="shared" si="40"/>
        <v>6.7800553088478184</v>
      </c>
      <c r="I98">
        <f t="shared" si="41"/>
        <v>79262.8007775367</v>
      </c>
      <c r="J98">
        <f t="shared" si="45"/>
        <v>2.6823499427121691E-4</v>
      </c>
      <c r="K98" s="1">
        <f t="shared" si="46"/>
        <v>6.7058748567804223E-3</v>
      </c>
      <c r="L98" s="12">
        <f t="shared" si="47"/>
        <v>-1.4290790772975015E-12</v>
      </c>
      <c r="M98" s="20">
        <f t="shared" si="42"/>
        <v>2.7559794767993213</v>
      </c>
      <c r="N98" s="20">
        <f t="shared" si="43"/>
        <v>8.0311855862042432</v>
      </c>
      <c r="O98">
        <v>950</v>
      </c>
    </row>
    <row r="99" spans="1:15" ht="16.5" x14ac:dyDescent="0.3">
      <c r="A99">
        <v>125</v>
      </c>
      <c r="B99">
        <f t="shared" si="44"/>
        <v>0.45000000000000007</v>
      </c>
      <c r="C99" s="11">
        <v>6.1738187435782015</v>
      </c>
      <c r="D99">
        <f t="shared" si="36"/>
        <v>6.6238187435782017</v>
      </c>
      <c r="E99">
        <f t="shared" si="37"/>
        <v>679.12006179360219</v>
      </c>
      <c r="F99">
        <f t="shared" si="38"/>
        <v>5.5507411155764546</v>
      </c>
      <c r="G99">
        <f t="shared" si="39"/>
        <v>0.1629545060274418</v>
      </c>
      <c r="H99">
        <f t="shared" si="40"/>
        <v>6.7867732496056439</v>
      </c>
      <c r="I99">
        <f t="shared" si="41"/>
        <v>79191.694512623217</v>
      </c>
      <c r="J99">
        <f t="shared" si="45"/>
        <v>2.6871763036763637E-4</v>
      </c>
      <c r="K99" s="1">
        <f t="shared" si="46"/>
        <v>6.7179407591909093E-3</v>
      </c>
      <c r="L99" s="12">
        <f t="shared" si="47"/>
        <v>-1.3651302310790925E-12</v>
      </c>
      <c r="M99" s="20">
        <f t="shared" si="42"/>
        <v>2.7659794767993215</v>
      </c>
      <c r="N99" s="20">
        <f t="shared" si="43"/>
        <v>8.041185586204243</v>
      </c>
      <c r="O99">
        <v>975</v>
      </c>
    </row>
    <row r="100" spans="1:15" ht="16.5" x14ac:dyDescent="0.3">
      <c r="A100">
        <v>150</v>
      </c>
      <c r="B100">
        <f t="shared" si="44"/>
        <v>0.46000000000000008</v>
      </c>
      <c r="C100" s="11">
        <v>6.1703663338850294</v>
      </c>
      <c r="D100">
        <f t="shared" si="36"/>
        <v>6.6303663338850294</v>
      </c>
      <c r="E100">
        <f t="shared" si="37"/>
        <v>678.74029672735321</v>
      </c>
      <c r="F100">
        <f t="shared" si="38"/>
        <v>5.5479502364151143</v>
      </c>
      <c r="G100">
        <f t="shared" si="39"/>
        <v>0.1631369078730209</v>
      </c>
      <c r="H100">
        <f t="shared" si="40"/>
        <v>6.7935032417580503</v>
      </c>
      <c r="I100">
        <f t="shared" si="41"/>
        <v>79120.865004260049</v>
      </c>
      <c r="J100">
        <f t="shared" si="45"/>
        <v>2.6919968614831842E-4</v>
      </c>
      <c r="K100" s="1">
        <f t="shared" si="46"/>
        <v>6.7299921537079602E-3</v>
      </c>
      <c r="L100" s="12">
        <f t="shared" si="47"/>
        <v>-1.3011813848606835E-12</v>
      </c>
      <c r="M100" s="20">
        <f t="shared" si="42"/>
        <v>2.7759794767993213</v>
      </c>
      <c r="N100" s="20">
        <f t="shared" si="43"/>
        <v>8.0511855862042445</v>
      </c>
      <c r="O100">
        <v>1000</v>
      </c>
    </row>
    <row r="101" spans="1:15" ht="16.5" x14ac:dyDescent="0.3">
      <c r="A101">
        <v>175</v>
      </c>
      <c r="B101">
        <f t="shared" si="44"/>
        <v>0.47000000000000008</v>
      </c>
      <c r="C101" s="11">
        <v>6.1669263105304344</v>
      </c>
      <c r="D101">
        <f t="shared" si="36"/>
        <v>6.6369263105304341</v>
      </c>
      <c r="E101">
        <f t="shared" si="37"/>
        <v>678.36189415834781</v>
      </c>
      <c r="F101">
        <f t="shared" si="38"/>
        <v>5.5451690568401322</v>
      </c>
      <c r="G101">
        <f t="shared" si="39"/>
        <v>0.16331896008740618</v>
      </c>
      <c r="H101">
        <f t="shared" si="40"/>
        <v>6.8002452706178405</v>
      </c>
      <c r="I101">
        <f t="shared" si="41"/>
        <v>79050.311758652533</v>
      </c>
      <c r="J101">
        <f t="shared" si="45"/>
        <v>2.6968115444109963E-4</v>
      </c>
      <c r="K101" s="1">
        <f t="shared" si="46"/>
        <v>6.7420288610274912E-3</v>
      </c>
      <c r="L101" s="12">
        <f t="shared" si="47"/>
        <v>-1.2372325386422744E-12</v>
      </c>
      <c r="M101" s="20">
        <f t="shared" si="42"/>
        <v>2.7859794767993216</v>
      </c>
      <c r="N101" s="20">
        <f t="shared" si="43"/>
        <v>8.0611855862042443</v>
      </c>
      <c r="O101">
        <v>1025</v>
      </c>
    </row>
    <row r="102" spans="1:15" ht="16.5" x14ac:dyDescent="0.3">
      <c r="A102">
        <v>200</v>
      </c>
      <c r="B102">
        <f t="shared" si="44"/>
        <v>0.48000000000000009</v>
      </c>
      <c r="C102" s="11">
        <v>6.1634986605725368</v>
      </c>
      <c r="D102">
        <f t="shared" si="36"/>
        <v>6.6434986605725372</v>
      </c>
      <c r="E102">
        <f t="shared" si="37"/>
        <v>677.98485266297905</v>
      </c>
      <c r="F102">
        <f t="shared" si="38"/>
        <v>5.5423975697128034</v>
      </c>
      <c r="G102">
        <f t="shared" si="39"/>
        <v>0.1635006607466539</v>
      </c>
      <c r="H102">
        <f t="shared" si="40"/>
        <v>6.8069993213191911</v>
      </c>
      <c r="I102">
        <f t="shared" si="41"/>
        <v>78980.034279094281</v>
      </c>
      <c r="J102">
        <f t="shared" si="45"/>
        <v>2.7016202810115531E-4</v>
      </c>
      <c r="K102" s="1">
        <f t="shared" si="46"/>
        <v>6.7540507025288824E-3</v>
      </c>
      <c r="L102" s="12">
        <f t="shared" si="47"/>
        <v>-1.1786127629420662E-12</v>
      </c>
      <c r="M102" s="20">
        <f t="shared" si="42"/>
        <v>2.7959794767993214</v>
      </c>
      <c r="N102" s="20">
        <f t="shared" si="43"/>
        <v>8.0711855862042441</v>
      </c>
      <c r="O102">
        <v>1050</v>
      </c>
    </row>
    <row r="103" spans="1:15" ht="16.5" x14ac:dyDescent="0.3">
      <c r="A103">
        <v>225</v>
      </c>
      <c r="B103">
        <f t="shared" si="44"/>
        <v>0.4900000000000001</v>
      </c>
      <c r="C103" s="11">
        <v>6.1600833708776834</v>
      </c>
      <c r="D103">
        <f t="shared" si="36"/>
        <v>6.6500833708776836</v>
      </c>
      <c r="E103">
        <f t="shared" si="37"/>
        <v>677.60917079654519</v>
      </c>
      <c r="F103">
        <f t="shared" si="38"/>
        <v>5.5396357677236194</v>
      </c>
      <c r="G103">
        <f t="shared" si="39"/>
        <v>0.16368200794068058</v>
      </c>
      <c r="H103">
        <f t="shared" si="40"/>
        <v>6.8137653788183643</v>
      </c>
      <c r="I103">
        <f t="shared" si="41"/>
        <v>78910.032065984662</v>
      </c>
      <c r="J103">
        <f t="shared" si="45"/>
        <v>2.706423000114827E-4</v>
      </c>
      <c r="K103" s="1">
        <f t="shared" si="46"/>
        <v>6.7660575002870676E-3</v>
      </c>
      <c r="L103" s="12">
        <f t="shared" si="47"/>
        <v>-1.113775738303957E-12</v>
      </c>
      <c r="M103" s="20">
        <f t="shared" si="42"/>
        <v>2.8059794767993216</v>
      </c>
      <c r="N103" s="20">
        <f t="shared" si="43"/>
        <v>8.0811855862042439</v>
      </c>
      <c r="O103">
        <v>1075</v>
      </c>
    </row>
    <row r="104" spans="1:15" ht="16.5" x14ac:dyDescent="0.3">
      <c r="A104">
        <v>250</v>
      </c>
      <c r="B104">
        <f t="shared" si="44"/>
        <v>0.50000000000000011</v>
      </c>
      <c r="C104" s="11">
        <v>6.1566804281210219</v>
      </c>
      <c r="D104">
        <f t="shared" si="36"/>
        <v>6.6566804281210219</v>
      </c>
      <c r="E104">
        <f t="shared" si="37"/>
        <v>677.2348470933124</v>
      </c>
      <c r="F104">
        <f t="shared" si="38"/>
        <v>5.5368836433926747</v>
      </c>
      <c r="G104">
        <f t="shared" si="39"/>
        <v>0.16386299977337107</v>
      </c>
      <c r="H104">
        <f t="shared" si="40"/>
        <v>6.8205434278943926</v>
      </c>
      <c r="I104">
        <f t="shared" si="41"/>
        <v>78840.304616845009</v>
      </c>
      <c r="J104">
        <f t="shared" si="45"/>
        <v>2.7112196308338142E-4</v>
      </c>
      <c r="K104" s="1">
        <f t="shared" si="46"/>
        <v>6.7780490770845353E-3</v>
      </c>
      <c r="L104" s="12">
        <f t="shared" si="47"/>
        <v>-1.0560441410234489E-12</v>
      </c>
      <c r="M104" s="20">
        <f t="shared" si="42"/>
        <v>2.8159794767993214</v>
      </c>
      <c r="N104" s="20">
        <f t="shared" si="43"/>
        <v>8.0911855862042437</v>
      </c>
      <c r="O104">
        <v>1100</v>
      </c>
    </row>
    <row r="105" spans="1:15" ht="16.5" x14ac:dyDescent="0.3">
      <c r="A105">
        <v>275</v>
      </c>
      <c r="B105">
        <f t="shared" si="44"/>
        <v>0.51000000000000012</v>
      </c>
      <c r="C105" s="11">
        <v>6.153289818787135</v>
      </c>
      <c r="D105">
        <f t="shared" si="36"/>
        <v>6.6632898187871348</v>
      </c>
      <c r="E105">
        <f t="shared" si="37"/>
        <v>676.86188006658483</v>
      </c>
      <c r="F105">
        <f t="shared" si="38"/>
        <v>5.5341411890701213</v>
      </c>
      <c r="G105">
        <f t="shared" si="39"/>
        <v>0.16404363436268335</v>
      </c>
      <c r="H105">
        <f t="shared" si="40"/>
        <v>6.8273334531498184</v>
      </c>
      <c r="I105">
        <f t="shared" si="41"/>
        <v>78770.851426336172</v>
      </c>
      <c r="J105">
        <f t="shared" si="45"/>
        <v>2.7160101025693203E-4</v>
      </c>
      <c r="K105" s="1">
        <f t="shared" si="46"/>
        <v>6.7900252564233009E-3</v>
      </c>
      <c r="L105" s="12">
        <f t="shared" si="47"/>
        <v>-9.9742436532324064E-13</v>
      </c>
      <c r="M105" s="20">
        <f t="shared" si="42"/>
        <v>2.8259794767993216</v>
      </c>
      <c r="N105" s="20">
        <f t="shared" si="43"/>
        <v>8.1011855862042434</v>
      </c>
      <c r="O105">
        <v>1125</v>
      </c>
    </row>
    <row r="106" spans="1:15" ht="16.5" x14ac:dyDescent="0.3">
      <c r="A106">
        <v>300</v>
      </c>
      <c r="B106">
        <f t="shared" si="44"/>
        <v>0.52000000000000013</v>
      </c>
      <c r="C106" s="11">
        <v>6.1499115291706623</v>
      </c>
      <c r="D106">
        <f t="shared" si="36"/>
        <v>6.6699115291706628</v>
      </c>
      <c r="E106">
        <f t="shared" si="37"/>
        <v>676.49026820877282</v>
      </c>
      <c r="F106">
        <f t="shared" si="38"/>
        <v>5.5314083969366257</v>
      </c>
      <c r="G106">
        <f t="shared" si="39"/>
        <v>0.16422390984075264</v>
      </c>
      <c r="H106">
        <f t="shared" si="40"/>
        <v>6.8341354390114155</v>
      </c>
      <c r="I106">
        <f t="shared" si="41"/>
        <v>78701.671986275891</v>
      </c>
      <c r="J106">
        <f t="shared" si="45"/>
        <v>2.7207943450146876E-4</v>
      </c>
      <c r="K106" s="1">
        <f t="shared" si="46"/>
        <v>6.8019858625367191E-3</v>
      </c>
      <c r="L106" s="12">
        <f t="shared" si="47"/>
        <v>-9.396927680427325E-13</v>
      </c>
      <c r="M106" s="20">
        <f t="shared" si="42"/>
        <v>2.8359794767993214</v>
      </c>
      <c r="N106" s="20">
        <f t="shared" si="43"/>
        <v>8.1111855862042432</v>
      </c>
      <c r="O106">
        <v>1150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C013-A1CD-483F-AA49-FD9EF3C01B36}">
  <dimension ref="A1:N56"/>
  <sheetViews>
    <sheetView zoomScale="115" zoomScaleNormal="115" workbookViewId="0">
      <selection activeCell="L44" sqref="L44"/>
    </sheetView>
  </sheetViews>
  <sheetFormatPr defaultRowHeight="15" x14ac:dyDescent="0.25"/>
  <sheetData>
    <row r="1" spans="1:14" x14ac:dyDescent="0.25">
      <c r="A1" t="s">
        <v>76</v>
      </c>
      <c r="B1" t="s">
        <v>77</v>
      </c>
      <c r="C1" t="s">
        <v>78</v>
      </c>
      <c r="D1" t="s">
        <v>79</v>
      </c>
      <c r="E1" t="s">
        <v>80</v>
      </c>
      <c r="F1" t="s">
        <v>81</v>
      </c>
      <c r="G1" t="s">
        <v>82</v>
      </c>
      <c r="H1" t="s">
        <v>83</v>
      </c>
      <c r="I1" t="s">
        <v>84</v>
      </c>
      <c r="J1" t="s">
        <v>85</v>
      </c>
      <c r="K1" t="s">
        <v>86</v>
      </c>
      <c r="L1" t="s">
        <v>87</v>
      </c>
      <c r="M1" t="s">
        <v>88</v>
      </c>
    </row>
    <row r="2" spans="1:14" x14ac:dyDescent="0.25">
      <c r="D2" t="s">
        <v>89</v>
      </c>
      <c r="E2" t="s">
        <v>90</v>
      </c>
      <c r="F2" t="s">
        <v>90</v>
      </c>
      <c r="G2" t="s">
        <v>90</v>
      </c>
      <c r="H2" t="s">
        <v>90</v>
      </c>
      <c r="I2" t="s">
        <v>91</v>
      </c>
      <c r="J2" t="s">
        <v>92</v>
      </c>
      <c r="K2" t="s">
        <v>93</v>
      </c>
      <c r="L2" t="s">
        <v>90</v>
      </c>
      <c r="M2" t="s">
        <v>94</v>
      </c>
    </row>
    <row r="3" spans="1:14" x14ac:dyDescent="0.25">
      <c r="A3" t="s">
        <v>95</v>
      </c>
      <c r="B3">
        <v>200</v>
      </c>
      <c r="C3" t="s">
        <v>96</v>
      </c>
      <c r="D3">
        <v>2.4</v>
      </c>
      <c r="E3">
        <v>0.3</v>
      </c>
      <c r="F3">
        <v>1.5</v>
      </c>
      <c r="G3">
        <v>0.77</v>
      </c>
      <c r="H3">
        <v>1.54</v>
      </c>
      <c r="I3">
        <v>3.0499999999999999E-4</v>
      </c>
      <c r="J3">
        <v>0.83</v>
      </c>
      <c r="K3">
        <v>2.89</v>
      </c>
      <c r="L3">
        <v>2.4</v>
      </c>
      <c r="M3">
        <v>0.24</v>
      </c>
    </row>
    <row r="4" spans="1:14" x14ac:dyDescent="0.25">
      <c r="A4" t="s">
        <v>95</v>
      </c>
      <c r="B4" t="s">
        <v>97</v>
      </c>
      <c r="C4" t="s">
        <v>96</v>
      </c>
      <c r="D4">
        <v>2.4</v>
      </c>
      <c r="E4">
        <v>0.28000000000000003</v>
      </c>
      <c r="F4">
        <v>1.5</v>
      </c>
      <c r="G4">
        <v>0.75</v>
      </c>
      <c r="H4">
        <v>1.54</v>
      </c>
      <c r="I4">
        <v>2.9700000000000001E-4</v>
      </c>
      <c r="J4">
        <v>0.82</v>
      </c>
      <c r="K4">
        <v>2.92</v>
      </c>
      <c r="L4">
        <v>2.4</v>
      </c>
      <c r="M4">
        <v>0.24</v>
      </c>
      <c r="N4" s="21" t="s">
        <v>114</v>
      </c>
    </row>
    <row r="5" spans="1:14" x14ac:dyDescent="0.25">
      <c r="A5" t="s">
        <v>95</v>
      </c>
      <c r="B5" t="s">
        <v>98</v>
      </c>
      <c r="C5" t="s">
        <v>96</v>
      </c>
      <c r="D5">
        <v>2.4</v>
      </c>
      <c r="E5">
        <v>0.27</v>
      </c>
      <c r="F5">
        <v>1.5</v>
      </c>
      <c r="G5">
        <v>0.74</v>
      </c>
      <c r="H5">
        <v>1.53</v>
      </c>
      <c r="I5">
        <v>2.9E-4</v>
      </c>
      <c r="J5">
        <v>0.81</v>
      </c>
      <c r="K5">
        <v>2.95</v>
      </c>
      <c r="L5">
        <v>2.4</v>
      </c>
      <c r="M5">
        <v>0.23</v>
      </c>
      <c r="N5" s="21"/>
    </row>
    <row r="6" spans="1:14" x14ac:dyDescent="0.25">
      <c r="A6" t="s">
        <v>95</v>
      </c>
      <c r="B6" t="s">
        <v>99</v>
      </c>
      <c r="C6" t="s">
        <v>96</v>
      </c>
      <c r="D6">
        <v>2.4</v>
      </c>
      <c r="E6">
        <v>0.26</v>
      </c>
      <c r="F6">
        <v>1.5</v>
      </c>
      <c r="G6">
        <v>0.72</v>
      </c>
      <c r="H6">
        <v>1.53</v>
      </c>
      <c r="I6">
        <v>2.8200000000000002E-4</v>
      </c>
      <c r="J6">
        <v>0.81</v>
      </c>
      <c r="K6">
        <v>2.98</v>
      </c>
      <c r="L6">
        <v>2.4</v>
      </c>
      <c r="M6">
        <v>0.23</v>
      </c>
      <c r="N6" s="21"/>
    </row>
    <row r="7" spans="1:14" x14ac:dyDescent="0.25">
      <c r="A7" t="s">
        <v>95</v>
      </c>
      <c r="B7" t="s">
        <v>100</v>
      </c>
      <c r="C7" t="s">
        <v>96</v>
      </c>
      <c r="D7">
        <v>2.4</v>
      </c>
      <c r="E7">
        <v>0.24</v>
      </c>
      <c r="F7">
        <v>1.5</v>
      </c>
      <c r="G7">
        <v>0.71</v>
      </c>
      <c r="H7">
        <v>1.53</v>
      </c>
      <c r="I7">
        <v>2.7399999999999999E-4</v>
      </c>
      <c r="J7">
        <v>0.8</v>
      </c>
      <c r="K7">
        <v>3.01</v>
      </c>
      <c r="L7">
        <v>2.4</v>
      </c>
      <c r="M7">
        <v>0.23</v>
      </c>
      <c r="N7" s="21"/>
    </row>
    <row r="8" spans="1:14" x14ac:dyDescent="0.25">
      <c r="A8" t="s">
        <v>95</v>
      </c>
      <c r="B8">
        <v>151</v>
      </c>
      <c r="C8" t="s">
        <v>96</v>
      </c>
      <c r="D8">
        <v>2.4</v>
      </c>
      <c r="E8">
        <v>0.23</v>
      </c>
      <c r="F8">
        <v>1.49</v>
      </c>
      <c r="G8">
        <v>0.69</v>
      </c>
      <c r="H8">
        <v>1.53</v>
      </c>
      <c r="I8">
        <v>2.6699999999999998E-4</v>
      </c>
      <c r="J8">
        <v>0.79</v>
      </c>
      <c r="K8">
        <v>3.04</v>
      </c>
      <c r="L8">
        <v>2.4</v>
      </c>
      <c r="M8">
        <v>0.22</v>
      </c>
      <c r="N8" s="21"/>
    </row>
    <row r="9" spans="1:14" x14ac:dyDescent="0.25">
      <c r="A9" t="s">
        <v>95</v>
      </c>
      <c r="B9">
        <v>150</v>
      </c>
      <c r="D9" t="s">
        <v>101</v>
      </c>
      <c r="N9" s="21"/>
    </row>
    <row r="10" spans="1:14" x14ac:dyDescent="0.25">
      <c r="A10" t="s">
        <v>95</v>
      </c>
      <c r="B10">
        <v>149</v>
      </c>
      <c r="C10" t="s">
        <v>96</v>
      </c>
      <c r="D10">
        <v>2.4</v>
      </c>
      <c r="E10">
        <v>0.22</v>
      </c>
      <c r="F10">
        <v>0.84</v>
      </c>
      <c r="G10">
        <v>0.69</v>
      </c>
      <c r="H10">
        <v>0.97</v>
      </c>
      <c r="I10">
        <v>2.0010000000000002E-3</v>
      </c>
      <c r="J10">
        <v>1.63</v>
      </c>
      <c r="K10">
        <v>1.47</v>
      </c>
      <c r="L10">
        <v>2.4</v>
      </c>
      <c r="M10">
        <v>0.67</v>
      </c>
      <c r="N10" s="21"/>
    </row>
    <row r="11" spans="1:14" x14ac:dyDescent="0.25">
      <c r="A11" t="s">
        <v>95</v>
      </c>
      <c r="B11" t="s">
        <v>102</v>
      </c>
      <c r="C11" t="s">
        <v>96</v>
      </c>
      <c r="D11">
        <v>2.4</v>
      </c>
      <c r="E11">
        <v>0.21</v>
      </c>
      <c r="F11">
        <v>0.81</v>
      </c>
      <c r="G11">
        <v>0.68</v>
      </c>
      <c r="H11">
        <v>0.95</v>
      </c>
      <c r="I11">
        <v>2.0839999999999999E-3</v>
      </c>
      <c r="J11">
        <v>1.66</v>
      </c>
      <c r="K11">
        <v>1.45</v>
      </c>
      <c r="L11">
        <v>2.4</v>
      </c>
      <c r="M11">
        <v>0.68</v>
      </c>
      <c r="N11" s="21"/>
    </row>
    <row r="12" spans="1:14" x14ac:dyDescent="0.25">
      <c r="A12" t="s">
        <v>95</v>
      </c>
      <c r="B12" t="s">
        <v>103</v>
      </c>
      <c r="C12" t="s">
        <v>96</v>
      </c>
      <c r="D12">
        <v>2.4</v>
      </c>
      <c r="E12">
        <v>0.2</v>
      </c>
      <c r="F12">
        <v>0.79</v>
      </c>
      <c r="G12">
        <v>0.66</v>
      </c>
      <c r="H12">
        <v>0.93</v>
      </c>
      <c r="I12">
        <v>2.1940000000000002E-3</v>
      </c>
      <c r="J12">
        <v>1.69</v>
      </c>
      <c r="K12">
        <v>1.42</v>
      </c>
      <c r="L12">
        <v>2.4</v>
      </c>
      <c r="M12">
        <v>0.7</v>
      </c>
      <c r="N12" s="21"/>
    </row>
    <row r="13" spans="1:14" x14ac:dyDescent="0.25">
      <c r="A13" t="s">
        <v>95</v>
      </c>
      <c r="B13" t="s">
        <v>104</v>
      </c>
      <c r="C13" t="s">
        <v>96</v>
      </c>
      <c r="D13">
        <v>2.4</v>
      </c>
      <c r="E13">
        <v>0.18</v>
      </c>
      <c r="F13">
        <v>0.76</v>
      </c>
      <c r="G13">
        <v>0.65</v>
      </c>
      <c r="H13">
        <v>0.91</v>
      </c>
      <c r="I13">
        <v>2.3240000000000001E-3</v>
      </c>
      <c r="J13">
        <v>1.72</v>
      </c>
      <c r="K13">
        <v>1.4</v>
      </c>
      <c r="L13">
        <v>2.4</v>
      </c>
      <c r="M13">
        <v>0.72</v>
      </c>
      <c r="N13" s="21"/>
    </row>
    <row r="14" spans="1:14" x14ac:dyDescent="0.25">
      <c r="A14" t="s">
        <v>95</v>
      </c>
      <c r="B14" t="s">
        <v>105</v>
      </c>
      <c r="C14" t="s">
        <v>96</v>
      </c>
      <c r="D14">
        <v>2.4</v>
      </c>
      <c r="E14">
        <v>0.17</v>
      </c>
      <c r="F14">
        <v>0.73</v>
      </c>
      <c r="G14">
        <v>0.63</v>
      </c>
      <c r="H14">
        <v>0.89</v>
      </c>
      <c r="I14">
        <v>2.578E-3</v>
      </c>
      <c r="J14">
        <v>1.78</v>
      </c>
      <c r="K14">
        <v>1.35</v>
      </c>
      <c r="L14">
        <v>2.4</v>
      </c>
      <c r="M14">
        <v>0.76</v>
      </c>
      <c r="N14" s="21"/>
    </row>
    <row r="15" spans="1:14" x14ac:dyDescent="0.25">
      <c r="A15" t="s">
        <v>95</v>
      </c>
      <c r="B15">
        <v>101</v>
      </c>
      <c r="C15" t="s">
        <v>96</v>
      </c>
      <c r="D15">
        <v>2.4</v>
      </c>
      <c r="E15">
        <v>0.15</v>
      </c>
      <c r="F15">
        <v>0.62</v>
      </c>
      <c r="G15">
        <v>0.62</v>
      </c>
      <c r="H15">
        <v>0.85</v>
      </c>
      <c r="I15">
        <v>4.3930000000000002E-3</v>
      </c>
      <c r="J15">
        <v>2.14</v>
      </c>
      <c r="K15">
        <v>1.1200000000000001</v>
      </c>
      <c r="L15">
        <v>2.4</v>
      </c>
      <c r="M15">
        <v>1</v>
      </c>
    </row>
    <row r="16" spans="1:14" x14ac:dyDescent="0.25">
      <c r="A16" t="s">
        <v>95</v>
      </c>
      <c r="B16">
        <v>90</v>
      </c>
      <c r="C16" t="s">
        <v>96</v>
      </c>
      <c r="D16">
        <v>2.4</v>
      </c>
      <c r="E16">
        <v>0.14000000000000001</v>
      </c>
      <c r="F16">
        <v>0.7</v>
      </c>
      <c r="G16">
        <v>0.47</v>
      </c>
      <c r="H16">
        <v>0.76</v>
      </c>
      <c r="I16">
        <v>7.6099999999999996E-4</v>
      </c>
      <c r="J16">
        <v>1.06</v>
      </c>
      <c r="K16">
        <v>2.2599999999999998</v>
      </c>
      <c r="L16">
        <v>4</v>
      </c>
      <c r="M16">
        <v>0.45</v>
      </c>
    </row>
    <row r="17" spans="1:13" x14ac:dyDescent="0.25">
      <c r="A17" t="s">
        <v>95</v>
      </c>
      <c r="B17" t="s">
        <v>106</v>
      </c>
      <c r="C17" t="s">
        <v>96</v>
      </c>
      <c r="D17">
        <v>2.4</v>
      </c>
      <c r="E17">
        <v>0.12</v>
      </c>
      <c r="F17">
        <v>0.69</v>
      </c>
      <c r="G17">
        <v>0.45</v>
      </c>
      <c r="H17">
        <v>0.75</v>
      </c>
      <c r="I17">
        <v>7.2800000000000002E-4</v>
      </c>
      <c r="J17">
        <v>1.05</v>
      </c>
      <c r="K17">
        <v>2.29</v>
      </c>
      <c r="L17">
        <v>4</v>
      </c>
      <c r="M17">
        <v>0.44</v>
      </c>
    </row>
    <row r="18" spans="1:13" x14ac:dyDescent="0.25">
      <c r="A18" t="s">
        <v>95</v>
      </c>
      <c r="B18" t="s">
        <v>107</v>
      </c>
      <c r="C18" t="s">
        <v>96</v>
      </c>
      <c r="D18">
        <v>2.4</v>
      </c>
      <c r="E18">
        <v>0.1</v>
      </c>
      <c r="F18">
        <v>0.69</v>
      </c>
      <c r="G18">
        <v>0.44</v>
      </c>
      <c r="H18">
        <v>0.74</v>
      </c>
      <c r="I18">
        <v>6.9399999999999996E-4</v>
      </c>
      <c r="J18">
        <v>1.03</v>
      </c>
      <c r="K18">
        <v>2.33</v>
      </c>
      <c r="L18">
        <v>4</v>
      </c>
      <c r="M18">
        <v>0.43</v>
      </c>
    </row>
    <row r="19" spans="1:13" x14ac:dyDescent="0.25">
      <c r="A19" t="s">
        <v>95</v>
      </c>
      <c r="B19" t="s">
        <v>108</v>
      </c>
      <c r="C19" t="s">
        <v>96</v>
      </c>
      <c r="D19">
        <v>2.4</v>
      </c>
      <c r="E19">
        <v>0.09</v>
      </c>
      <c r="F19">
        <v>0.68</v>
      </c>
      <c r="G19">
        <v>0.42</v>
      </c>
      <c r="H19">
        <v>0.73</v>
      </c>
      <c r="I19">
        <v>6.6299999999999996E-4</v>
      </c>
      <c r="J19">
        <v>1.02</v>
      </c>
      <c r="K19">
        <v>2.36</v>
      </c>
      <c r="L19">
        <v>4</v>
      </c>
      <c r="M19">
        <v>0.42</v>
      </c>
    </row>
    <row r="20" spans="1:13" x14ac:dyDescent="0.25">
      <c r="A20" t="s">
        <v>95</v>
      </c>
      <c r="B20" t="s">
        <v>109</v>
      </c>
      <c r="C20" t="s">
        <v>96</v>
      </c>
      <c r="D20">
        <v>2.4</v>
      </c>
      <c r="E20">
        <v>7.0000000000000007E-2</v>
      </c>
      <c r="F20">
        <v>0.67</v>
      </c>
      <c r="G20">
        <v>0.41</v>
      </c>
      <c r="H20">
        <v>0.73</v>
      </c>
      <c r="I20">
        <v>6.3199999999999997E-4</v>
      </c>
      <c r="J20">
        <v>1</v>
      </c>
      <c r="K20">
        <v>2.4</v>
      </c>
      <c r="L20">
        <v>4</v>
      </c>
      <c r="M20">
        <v>0.41</v>
      </c>
    </row>
    <row r="21" spans="1:13" x14ac:dyDescent="0.25">
      <c r="A21" t="s">
        <v>95</v>
      </c>
      <c r="B21" t="s">
        <v>110</v>
      </c>
      <c r="C21" t="s">
        <v>96</v>
      </c>
      <c r="D21">
        <v>2.4</v>
      </c>
      <c r="E21">
        <v>0.06</v>
      </c>
      <c r="F21">
        <v>0.67</v>
      </c>
      <c r="G21">
        <v>0.39</v>
      </c>
      <c r="H21">
        <v>0.72</v>
      </c>
      <c r="I21">
        <v>6.0300000000000002E-4</v>
      </c>
      <c r="J21">
        <v>0.99</v>
      </c>
      <c r="K21">
        <v>2.44</v>
      </c>
      <c r="L21">
        <v>4</v>
      </c>
      <c r="M21">
        <v>0.4</v>
      </c>
    </row>
    <row r="22" spans="1:13" x14ac:dyDescent="0.25">
      <c r="A22" t="s">
        <v>95</v>
      </c>
      <c r="B22" t="s">
        <v>111</v>
      </c>
      <c r="C22" t="s">
        <v>96</v>
      </c>
      <c r="D22">
        <v>2.4</v>
      </c>
      <c r="E22">
        <v>0.05</v>
      </c>
      <c r="F22">
        <v>0.66</v>
      </c>
      <c r="G22">
        <v>0.38</v>
      </c>
      <c r="H22">
        <v>0.71</v>
      </c>
      <c r="I22">
        <v>5.7499999999999999E-4</v>
      </c>
      <c r="J22">
        <v>0.97</v>
      </c>
      <c r="K22">
        <v>2.48</v>
      </c>
      <c r="L22">
        <v>4</v>
      </c>
      <c r="M22">
        <v>0.39</v>
      </c>
    </row>
    <row r="23" spans="1:13" x14ac:dyDescent="0.25">
      <c r="A23" t="s">
        <v>95</v>
      </c>
      <c r="B23" t="s">
        <v>112</v>
      </c>
      <c r="C23" t="s">
        <v>96</v>
      </c>
      <c r="D23">
        <v>2.4</v>
      </c>
      <c r="E23">
        <v>0.03</v>
      </c>
      <c r="F23">
        <v>0.66</v>
      </c>
      <c r="G23">
        <v>0.36</v>
      </c>
      <c r="H23">
        <v>0.71</v>
      </c>
      <c r="I23">
        <v>5.4600000000000004E-4</v>
      </c>
      <c r="J23">
        <v>0.95</v>
      </c>
      <c r="K23">
        <v>2.52</v>
      </c>
      <c r="L23">
        <v>4</v>
      </c>
      <c r="M23">
        <v>0.38</v>
      </c>
    </row>
    <row r="24" spans="1:13" x14ac:dyDescent="0.25">
      <c r="A24" t="s">
        <v>95</v>
      </c>
      <c r="B24" t="s">
        <v>113</v>
      </c>
      <c r="C24" t="s">
        <v>96</v>
      </c>
      <c r="D24">
        <v>2.4</v>
      </c>
      <c r="E24">
        <v>0.01</v>
      </c>
      <c r="F24">
        <v>0.65</v>
      </c>
      <c r="G24">
        <v>0.35</v>
      </c>
      <c r="H24">
        <v>0.7</v>
      </c>
      <c r="I24">
        <v>5.1999999999999995E-4</v>
      </c>
      <c r="J24">
        <v>0.94</v>
      </c>
      <c r="K24">
        <v>2.56</v>
      </c>
      <c r="L24">
        <v>4</v>
      </c>
      <c r="M24">
        <v>0.37</v>
      </c>
    </row>
    <row r="25" spans="1:13" x14ac:dyDescent="0.25">
      <c r="A25" t="s">
        <v>95</v>
      </c>
      <c r="B25">
        <v>0</v>
      </c>
      <c r="C25" t="s">
        <v>96</v>
      </c>
      <c r="D25">
        <v>2.4</v>
      </c>
      <c r="E25">
        <v>0</v>
      </c>
      <c r="F25">
        <v>0.65</v>
      </c>
      <c r="G25">
        <v>0.33</v>
      </c>
      <c r="H25">
        <v>0.69</v>
      </c>
      <c r="I25">
        <v>4.95E-4</v>
      </c>
      <c r="J25">
        <v>0.92</v>
      </c>
      <c r="K25">
        <v>2.6</v>
      </c>
      <c r="L25">
        <v>4</v>
      </c>
      <c r="M25">
        <v>0.37</v>
      </c>
    </row>
    <row r="31" spans="1:13" x14ac:dyDescent="0.25">
      <c r="A31" t="s">
        <v>76</v>
      </c>
      <c r="B31" t="s">
        <v>77</v>
      </c>
      <c r="C31" t="s">
        <v>78</v>
      </c>
      <c r="D31" t="s">
        <v>79</v>
      </c>
      <c r="E31" t="s">
        <v>80</v>
      </c>
      <c r="F31" t="s">
        <v>81</v>
      </c>
      <c r="G31" t="s">
        <v>82</v>
      </c>
      <c r="H31" t="s">
        <v>83</v>
      </c>
      <c r="I31" t="s">
        <v>84</v>
      </c>
      <c r="J31" t="s">
        <v>85</v>
      </c>
      <c r="K31" t="s">
        <v>86</v>
      </c>
      <c r="L31" t="s">
        <v>87</v>
      </c>
      <c r="M31" t="s">
        <v>88</v>
      </c>
    </row>
    <row r="32" spans="1:13" x14ac:dyDescent="0.25">
      <c r="D32" t="s">
        <v>89</v>
      </c>
      <c r="E32" t="s">
        <v>90</v>
      </c>
      <c r="F32" t="s">
        <v>90</v>
      </c>
      <c r="G32" t="s">
        <v>90</v>
      </c>
      <c r="H32" t="s">
        <v>90</v>
      </c>
      <c r="I32" t="s">
        <v>91</v>
      </c>
      <c r="J32" t="s">
        <v>92</v>
      </c>
      <c r="K32" t="s">
        <v>93</v>
      </c>
      <c r="L32" t="s">
        <v>90</v>
      </c>
      <c r="M32" t="s">
        <v>94</v>
      </c>
    </row>
    <row r="33" spans="1:14" x14ac:dyDescent="0.25">
      <c r="A33" t="s">
        <v>95</v>
      </c>
      <c r="B33">
        <v>200</v>
      </c>
      <c r="C33" t="s">
        <v>96</v>
      </c>
      <c r="D33">
        <v>2.4</v>
      </c>
      <c r="E33">
        <v>0.3</v>
      </c>
      <c r="F33">
        <v>1.5</v>
      </c>
      <c r="G33">
        <v>0.77</v>
      </c>
      <c r="H33">
        <v>1.54</v>
      </c>
      <c r="I33">
        <v>3.0499999999999999E-4</v>
      </c>
      <c r="J33">
        <v>0.83</v>
      </c>
      <c r="K33">
        <v>2.89</v>
      </c>
      <c r="L33">
        <v>2.4</v>
      </c>
      <c r="M33">
        <v>0.24</v>
      </c>
    </row>
    <row r="34" spans="1:14" x14ac:dyDescent="0.25">
      <c r="A34" t="s">
        <v>95</v>
      </c>
      <c r="B34" t="s">
        <v>97</v>
      </c>
      <c r="C34" t="s">
        <v>96</v>
      </c>
      <c r="D34">
        <v>2.4</v>
      </c>
      <c r="E34">
        <v>0.28000000000000003</v>
      </c>
      <c r="F34">
        <v>1.5</v>
      </c>
      <c r="G34">
        <v>0.75</v>
      </c>
      <c r="H34">
        <v>1.54</v>
      </c>
      <c r="I34">
        <v>2.9700000000000001E-4</v>
      </c>
      <c r="J34">
        <v>0.82</v>
      </c>
      <c r="K34">
        <v>2.92</v>
      </c>
      <c r="L34">
        <v>2.4</v>
      </c>
      <c r="M34">
        <v>0.24</v>
      </c>
    </row>
    <row r="35" spans="1:14" x14ac:dyDescent="0.25">
      <c r="A35" t="s">
        <v>95</v>
      </c>
      <c r="B35" t="s">
        <v>98</v>
      </c>
      <c r="C35" t="s">
        <v>96</v>
      </c>
      <c r="D35">
        <v>2.4</v>
      </c>
      <c r="E35">
        <v>0.27</v>
      </c>
      <c r="F35">
        <v>1.5</v>
      </c>
      <c r="G35">
        <v>0.74</v>
      </c>
      <c r="H35">
        <v>1.53</v>
      </c>
      <c r="I35">
        <v>2.9E-4</v>
      </c>
      <c r="J35">
        <v>0.81</v>
      </c>
      <c r="K35">
        <v>2.95</v>
      </c>
      <c r="L35">
        <v>2.4</v>
      </c>
      <c r="M35">
        <v>0.23</v>
      </c>
      <c r="N35" s="21" t="s">
        <v>115</v>
      </c>
    </row>
    <row r="36" spans="1:14" x14ac:dyDescent="0.25">
      <c r="A36" t="s">
        <v>95</v>
      </c>
      <c r="B36" t="s">
        <v>99</v>
      </c>
      <c r="C36" t="s">
        <v>96</v>
      </c>
      <c r="D36">
        <v>2.4</v>
      </c>
      <c r="E36">
        <v>0.26</v>
      </c>
      <c r="F36">
        <v>1.5</v>
      </c>
      <c r="G36">
        <v>0.72</v>
      </c>
      <c r="H36">
        <v>1.53</v>
      </c>
      <c r="I36">
        <v>2.8200000000000002E-4</v>
      </c>
      <c r="J36">
        <v>0.81</v>
      </c>
      <c r="K36">
        <v>2.98</v>
      </c>
      <c r="L36">
        <v>2.4</v>
      </c>
      <c r="M36">
        <v>0.23</v>
      </c>
      <c r="N36" s="21"/>
    </row>
    <row r="37" spans="1:14" x14ac:dyDescent="0.25">
      <c r="A37" t="s">
        <v>95</v>
      </c>
      <c r="B37" t="s">
        <v>100</v>
      </c>
      <c r="C37" t="s">
        <v>96</v>
      </c>
      <c r="D37">
        <v>2.4</v>
      </c>
      <c r="E37">
        <v>0.24</v>
      </c>
      <c r="F37">
        <v>1.5</v>
      </c>
      <c r="G37">
        <v>0.71</v>
      </c>
      <c r="H37">
        <v>1.53</v>
      </c>
      <c r="I37">
        <v>2.7399999999999999E-4</v>
      </c>
      <c r="J37">
        <v>0.8</v>
      </c>
      <c r="K37">
        <v>3.01</v>
      </c>
      <c r="L37">
        <v>2.4</v>
      </c>
      <c r="M37">
        <v>0.23</v>
      </c>
      <c r="N37" s="21"/>
    </row>
    <row r="38" spans="1:14" x14ac:dyDescent="0.25">
      <c r="A38" t="s">
        <v>95</v>
      </c>
      <c r="B38">
        <v>151</v>
      </c>
      <c r="C38" t="s">
        <v>96</v>
      </c>
      <c r="D38">
        <v>2.4</v>
      </c>
      <c r="E38">
        <v>0.23</v>
      </c>
      <c r="F38">
        <v>1.49</v>
      </c>
      <c r="G38">
        <v>0.69</v>
      </c>
      <c r="H38">
        <v>1.53</v>
      </c>
      <c r="I38">
        <v>2.6699999999999998E-4</v>
      </c>
      <c r="J38">
        <v>0.79</v>
      </c>
      <c r="K38">
        <v>3.04</v>
      </c>
      <c r="L38">
        <v>2.4</v>
      </c>
      <c r="M38">
        <v>0.22</v>
      </c>
      <c r="N38" s="21"/>
    </row>
    <row r="39" spans="1:14" x14ac:dyDescent="0.25">
      <c r="A39" t="s">
        <v>95</v>
      </c>
      <c r="B39">
        <v>150</v>
      </c>
      <c r="D39" t="s">
        <v>101</v>
      </c>
      <c r="N39" s="21"/>
    </row>
    <row r="40" spans="1:14" x14ac:dyDescent="0.25">
      <c r="A40" t="s">
        <v>95</v>
      </c>
      <c r="B40">
        <v>149</v>
      </c>
      <c r="C40" t="s">
        <v>96</v>
      </c>
      <c r="D40">
        <v>2.4</v>
      </c>
      <c r="E40">
        <v>0.22</v>
      </c>
      <c r="F40">
        <v>0.84</v>
      </c>
      <c r="G40">
        <v>0.69</v>
      </c>
      <c r="H40">
        <v>0.97</v>
      </c>
      <c r="I40">
        <v>2.0010000000000002E-3</v>
      </c>
      <c r="J40">
        <v>1.63</v>
      </c>
      <c r="K40">
        <v>1.47</v>
      </c>
      <c r="L40">
        <v>2.4</v>
      </c>
      <c r="M40">
        <v>0.67</v>
      </c>
      <c r="N40" s="21"/>
    </row>
    <row r="41" spans="1:14" x14ac:dyDescent="0.25">
      <c r="A41" t="s">
        <v>95</v>
      </c>
      <c r="B41" t="s">
        <v>102</v>
      </c>
      <c r="C41" t="s">
        <v>96</v>
      </c>
      <c r="D41">
        <v>2.4</v>
      </c>
      <c r="E41">
        <v>0.21</v>
      </c>
      <c r="F41">
        <v>0.81</v>
      </c>
      <c r="G41">
        <v>0.68</v>
      </c>
      <c r="H41">
        <v>0.95</v>
      </c>
      <c r="I41">
        <v>2.0839999999999999E-3</v>
      </c>
      <c r="J41">
        <v>1.66</v>
      </c>
      <c r="K41">
        <v>1.45</v>
      </c>
      <c r="L41">
        <v>2.4</v>
      </c>
      <c r="M41">
        <v>0.68</v>
      </c>
      <c r="N41" s="21"/>
    </row>
    <row r="42" spans="1:14" x14ac:dyDescent="0.25">
      <c r="A42" t="s">
        <v>95</v>
      </c>
      <c r="B42" t="s">
        <v>103</v>
      </c>
      <c r="C42" t="s">
        <v>96</v>
      </c>
      <c r="D42">
        <v>2.4</v>
      </c>
      <c r="E42">
        <v>0.2</v>
      </c>
      <c r="F42">
        <v>0.79</v>
      </c>
      <c r="G42">
        <v>0.66</v>
      </c>
      <c r="H42">
        <v>0.93</v>
      </c>
      <c r="I42">
        <v>2.1940000000000002E-3</v>
      </c>
      <c r="J42">
        <v>1.69</v>
      </c>
      <c r="K42">
        <v>1.42</v>
      </c>
      <c r="L42">
        <v>2.4</v>
      </c>
      <c r="M42">
        <v>0.7</v>
      </c>
      <c r="N42" s="21"/>
    </row>
    <row r="43" spans="1:14" x14ac:dyDescent="0.25">
      <c r="A43" t="s">
        <v>95</v>
      </c>
      <c r="B43" t="s">
        <v>104</v>
      </c>
      <c r="C43" t="s">
        <v>96</v>
      </c>
      <c r="D43">
        <v>2.4</v>
      </c>
      <c r="E43">
        <v>0.18</v>
      </c>
      <c r="F43">
        <v>0.76</v>
      </c>
      <c r="G43">
        <v>0.65</v>
      </c>
      <c r="H43">
        <v>0.91</v>
      </c>
      <c r="I43">
        <v>2.3240000000000001E-3</v>
      </c>
      <c r="J43">
        <v>1.72</v>
      </c>
      <c r="K43">
        <v>1.4</v>
      </c>
      <c r="L43">
        <v>2.4</v>
      </c>
      <c r="M43">
        <v>0.72</v>
      </c>
      <c r="N43" s="21"/>
    </row>
    <row r="44" spans="1:14" x14ac:dyDescent="0.25">
      <c r="A44" t="s">
        <v>95</v>
      </c>
      <c r="B44" t="s">
        <v>105</v>
      </c>
      <c r="C44" t="s">
        <v>96</v>
      </c>
      <c r="D44">
        <v>2.4</v>
      </c>
      <c r="E44">
        <v>0.17</v>
      </c>
      <c r="F44">
        <v>0.73</v>
      </c>
      <c r="G44">
        <v>0.63</v>
      </c>
      <c r="H44">
        <v>0.89</v>
      </c>
      <c r="I44">
        <v>2.578E-3</v>
      </c>
      <c r="J44">
        <v>1.78</v>
      </c>
      <c r="K44">
        <v>1.35</v>
      </c>
      <c r="L44">
        <v>2.4</v>
      </c>
      <c r="M44">
        <v>0.76</v>
      </c>
      <c r="N44" s="21"/>
    </row>
    <row r="45" spans="1:14" x14ac:dyDescent="0.25">
      <c r="A45" t="s">
        <v>95</v>
      </c>
      <c r="B45">
        <v>101</v>
      </c>
      <c r="C45" t="s">
        <v>96</v>
      </c>
      <c r="D45">
        <v>2.4</v>
      </c>
      <c r="E45">
        <v>0.15</v>
      </c>
      <c r="F45">
        <v>0.62</v>
      </c>
      <c r="G45">
        <v>0.62</v>
      </c>
      <c r="H45">
        <v>0.85</v>
      </c>
      <c r="I45">
        <v>4.3930000000000002E-3</v>
      </c>
      <c r="J45">
        <v>2.14</v>
      </c>
      <c r="K45">
        <v>1.1200000000000001</v>
      </c>
      <c r="L45">
        <v>2.4</v>
      </c>
      <c r="M45">
        <v>1</v>
      </c>
      <c r="N45" s="21"/>
    </row>
    <row r="46" spans="1:14" x14ac:dyDescent="0.25">
      <c r="A46" t="s">
        <v>95</v>
      </c>
      <c r="B46">
        <v>97</v>
      </c>
      <c r="C46" t="s">
        <v>96</v>
      </c>
      <c r="D46">
        <v>2.4</v>
      </c>
      <c r="E46">
        <v>0.15</v>
      </c>
      <c r="F46">
        <v>0.6</v>
      </c>
      <c r="G46">
        <v>0.6</v>
      </c>
      <c r="H46">
        <v>0.83</v>
      </c>
      <c r="I46">
        <v>2.8519999999999999E-3</v>
      </c>
      <c r="J46">
        <v>2.11</v>
      </c>
      <c r="K46">
        <v>1.1399999999999999</v>
      </c>
      <c r="L46">
        <v>4</v>
      </c>
      <c r="M46">
        <v>1</v>
      </c>
    </row>
    <row r="47" spans="1:14" x14ac:dyDescent="0.25">
      <c r="A47" t="s">
        <v>95</v>
      </c>
      <c r="B47">
        <v>90</v>
      </c>
      <c r="C47" t="s">
        <v>96</v>
      </c>
      <c r="D47">
        <v>2.4</v>
      </c>
      <c r="E47">
        <v>0.14000000000000001</v>
      </c>
      <c r="F47">
        <v>0.7</v>
      </c>
      <c r="G47">
        <v>0.47</v>
      </c>
      <c r="H47">
        <v>0.76</v>
      </c>
      <c r="I47">
        <v>7.6099999999999996E-4</v>
      </c>
      <c r="J47">
        <v>1.06</v>
      </c>
      <c r="K47">
        <v>2.2599999999999998</v>
      </c>
      <c r="L47">
        <v>4</v>
      </c>
      <c r="M47">
        <v>0.45</v>
      </c>
    </row>
    <row r="48" spans="1:14" x14ac:dyDescent="0.25">
      <c r="A48" t="s">
        <v>95</v>
      </c>
      <c r="B48" t="s">
        <v>106</v>
      </c>
      <c r="C48" t="s">
        <v>96</v>
      </c>
      <c r="D48">
        <v>2.4</v>
      </c>
      <c r="E48">
        <v>0.12</v>
      </c>
      <c r="F48">
        <v>0.69</v>
      </c>
      <c r="G48">
        <v>0.45</v>
      </c>
      <c r="H48">
        <v>0.75</v>
      </c>
      <c r="I48">
        <v>7.2800000000000002E-4</v>
      </c>
      <c r="J48">
        <v>1.05</v>
      </c>
      <c r="K48">
        <v>2.29</v>
      </c>
      <c r="L48">
        <v>4</v>
      </c>
      <c r="M48">
        <v>0.44</v>
      </c>
    </row>
    <row r="49" spans="1:13" x14ac:dyDescent="0.25">
      <c r="A49" t="s">
        <v>95</v>
      </c>
      <c r="B49" t="s">
        <v>107</v>
      </c>
      <c r="C49" t="s">
        <v>96</v>
      </c>
      <c r="D49">
        <v>2.4</v>
      </c>
      <c r="E49">
        <v>0.1</v>
      </c>
      <c r="F49">
        <v>0.69</v>
      </c>
      <c r="G49">
        <v>0.44</v>
      </c>
      <c r="H49">
        <v>0.74</v>
      </c>
      <c r="I49">
        <v>6.9399999999999996E-4</v>
      </c>
      <c r="J49">
        <v>1.03</v>
      </c>
      <c r="K49">
        <v>2.33</v>
      </c>
      <c r="L49">
        <v>4</v>
      </c>
      <c r="M49">
        <v>0.43</v>
      </c>
    </row>
    <row r="50" spans="1:13" x14ac:dyDescent="0.25">
      <c r="A50" t="s">
        <v>95</v>
      </c>
      <c r="B50" t="s">
        <v>108</v>
      </c>
      <c r="C50" t="s">
        <v>96</v>
      </c>
      <c r="D50">
        <v>2.4</v>
      </c>
      <c r="E50">
        <v>0.09</v>
      </c>
      <c r="F50">
        <v>0.68</v>
      </c>
      <c r="G50">
        <v>0.42</v>
      </c>
      <c r="H50">
        <v>0.73</v>
      </c>
      <c r="I50">
        <v>6.6299999999999996E-4</v>
      </c>
      <c r="J50">
        <v>1.02</v>
      </c>
      <c r="K50">
        <v>2.36</v>
      </c>
      <c r="L50">
        <v>4</v>
      </c>
      <c r="M50">
        <v>0.42</v>
      </c>
    </row>
    <row r="51" spans="1:13" x14ac:dyDescent="0.25">
      <c r="A51" t="s">
        <v>95</v>
      </c>
      <c r="B51" t="s">
        <v>109</v>
      </c>
      <c r="C51" t="s">
        <v>96</v>
      </c>
      <c r="D51">
        <v>2.4</v>
      </c>
      <c r="E51">
        <v>7.0000000000000007E-2</v>
      </c>
      <c r="F51">
        <v>0.67</v>
      </c>
      <c r="G51">
        <v>0.41</v>
      </c>
      <c r="H51">
        <v>0.73</v>
      </c>
      <c r="I51">
        <v>6.3199999999999997E-4</v>
      </c>
      <c r="J51">
        <v>1</v>
      </c>
      <c r="K51">
        <v>2.4</v>
      </c>
      <c r="L51">
        <v>4</v>
      </c>
      <c r="M51">
        <v>0.41</v>
      </c>
    </row>
    <row r="52" spans="1:13" x14ac:dyDescent="0.25">
      <c r="A52" t="s">
        <v>95</v>
      </c>
      <c r="B52" t="s">
        <v>110</v>
      </c>
      <c r="C52" t="s">
        <v>96</v>
      </c>
      <c r="D52">
        <v>2.4</v>
      </c>
      <c r="E52">
        <v>0.06</v>
      </c>
      <c r="F52">
        <v>0.67</v>
      </c>
      <c r="G52">
        <v>0.39</v>
      </c>
      <c r="H52">
        <v>0.72</v>
      </c>
      <c r="I52">
        <v>6.0300000000000002E-4</v>
      </c>
      <c r="J52">
        <v>0.99</v>
      </c>
      <c r="K52">
        <v>2.44</v>
      </c>
      <c r="L52">
        <v>4</v>
      </c>
      <c r="M52">
        <v>0.4</v>
      </c>
    </row>
    <row r="53" spans="1:13" x14ac:dyDescent="0.25">
      <c r="A53" t="s">
        <v>95</v>
      </c>
      <c r="B53" t="s">
        <v>111</v>
      </c>
      <c r="C53" t="s">
        <v>96</v>
      </c>
      <c r="D53">
        <v>2.4</v>
      </c>
      <c r="E53">
        <v>0.05</v>
      </c>
      <c r="F53">
        <v>0.66</v>
      </c>
      <c r="G53">
        <v>0.38</v>
      </c>
      <c r="H53">
        <v>0.71</v>
      </c>
      <c r="I53">
        <v>5.7499999999999999E-4</v>
      </c>
      <c r="J53">
        <v>0.97</v>
      </c>
      <c r="K53">
        <v>2.48</v>
      </c>
      <c r="L53">
        <v>4</v>
      </c>
      <c r="M53">
        <v>0.39</v>
      </c>
    </row>
    <row r="54" spans="1:13" x14ac:dyDescent="0.25">
      <c r="A54" t="s">
        <v>95</v>
      </c>
      <c r="B54" t="s">
        <v>112</v>
      </c>
      <c r="C54" t="s">
        <v>96</v>
      </c>
      <c r="D54">
        <v>2.4</v>
      </c>
      <c r="E54">
        <v>0.03</v>
      </c>
      <c r="F54">
        <v>0.66</v>
      </c>
      <c r="G54">
        <v>0.36</v>
      </c>
      <c r="H54">
        <v>0.71</v>
      </c>
      <c r="I54">
        <v>5.4600000000000004E-4</v>
      </c>
      <c r="J54">
        <v>0.95</v>
      </c>
      <c r="K54">
        <v>2.52</v>
      </c>
      <c r="L54">
        <v>4</v>
      </c>
      <c r="M54">
        <v>0.38</v>
      </c>
    </row>
    <row r="55" spans="1:13" x14ac:dyDescent="0.25">
      <c r="A55" t="s">
        <v>95</v>
      </c>
      <c r="B55" t="s">
        <v>113</v>
      </c>
      <c r="C55" t="s">
        <v>96</v>
      </c>
      <c r="D55">
        <v>2.4</v>
      </c>
      <c r="E55">
        <v>0.01</v>
      </c>
      <c r="F55">
        <v>0.65</v>
      </c>
      <c r="G55">
        <v>0.35</v>
      </c>
      <c r="H55">
        <v>0.7</v>
      </c>
      <c r="I55">
        <v>5.1999999999999995E-4</v>
      </c>
      <c r="J55">
        <v>0.94</v>
      </c>
      <c r="K55">
        <v>2.56</v>
      </c>
      <c r="L55">
        <v>4</v>
      </c>
      <c r="M55">
        <v>0.37</v>
      </c>
    </row>
    <row r="56" spans="1:13" x14ac:dyDescent="0.25">
      <c r="A56" t="s">
        <v>95</v>
      </c>
      <c r="B56">
        <v>0</v>
      </c>
      <c r="C56" t="s">
        <v>96</v>
      </c>
      <c r="D56">
        <v>2.4</v>
      </c>
      <c r="E56">
        <v>0</v>
      </c>
      <c r="F56">
        <v>0.65</v>
      </c>
      <c r="G56">
        <v>0.33</v>
      </c>
      <c r="H56">
        <v>0.69</v>
      </c>
      <c r="I56">
        <v>4.95E-4</v>
      </c>
      <c r="J56">
        <v>0.92</v>
      </c>
      <c r="K56">
        <v>2.6</v>
      </c>
      <c r="L56">
        <v>4</v>
      </c>
      <c r="M56">
        <v>0.37</v>
      </c>
    </row>
  </sheetData>
  <mergeCells count="2">
    <mergeCell ref="N4:N14"/>
    <mergeCell ref="N35:N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2966-AE47-4B4C-8401-AEBF27ADCA7E}">
  <dimension ref="A1:AB79"/>
  <sheetViews>
    <sheetView tabSelected="1" workbookViewId="0">
      <selection activeCell="I8" sqref="I8"/>
    </sheetView>
  </sheetViews>
  <sheetFormatPr defaultRowHeight="15" x14ac:dyDescent="0.25"/>
  <cols>
    <col min="8" max="8" width="13.7109375" customWidth="1"/>
    <col min="13" max="13" width="14" bestFit="1" customWidth="1"/>
  </cols>
  <sheetData>
    <row r="1" spans="1:28" ht="16.5" x14ac:dyDescent="0.3">
      <c r="A1" s="1" t="s">
        <v>46</v>
      </c>
      <c r="B1" s="1"/>
      <c r="C1" s="1"/>
      <c r="D1" s="1"/>
      <c r="E1" s="1" t="s">
        <v>45</v>
      </c>
      <c r="F1" s="1"/>
      <c r="G1" s="1"/>
      <c r="H1" s="1"/>
      <c r="I1" s="1"/>
      <c r="J1" s="1" t="s">
        <v>47</v>
      </c>
      <c r="K1" s="1"/>
      <c r="L1" s="1"/>
      <c r="N1" s="1" t="s">
        <v>48</v>
      </c>
      <c r="O1" s="1"/>
      <c r="P1" s="1"/>
      <c r="Q1" s="1"/>
      <c r="R1" s="1"/>
      <c r="S1" s="1"/>
      <c r="T1" s="1"/>
      <c r="U1" s="1"/>
      <c r="V1" s="1"/>
      <c r="W1" s="1"/>
      <c r="X1" s="1"/>
    </row>
    <row r="2" spans="1:28" ht="16.5" x14ac:dyDescent="0.3">
      <c r="A2" s="1" t="s">
        <v>1</v>
      </c>
      <c r="B2" s="1">
        <v>2.4</v>
      </c>
      <c r="C2" s="1" t="s">
        <v>0</v>
      </c>
      <c r="D2" s="1"/>
      <c r="E2" s="1" t="s">
        <v>3</v>
      </c>
      <c r="F2" s="2">
        <f>((B5/B2)^2/F7)^(1/3)</f>
        <v>0.46713635126797376</v>
      </c>
      <c r="G2" s="1" t="s">
        <v>0</v>
      </c>
      <c r="H2" s="1" t="s">
        <v>4</v>
      </c>
      <c r="I2" s="1"/>
      <c r="J2" s="1" t="s">
        <v>1</v>
      </c>
      <c r="K2" s="1">
        <v>4</v>
      </c>
      <c r="L2" s="1" t="s">
        <v>0</v>
      </c>
      <c r="N2" s="1" t="s">
        <v>3</v>
      </c>
      <c r="O2" s="2">
        <f>((K5/K2)^2/O7)^(1/3)</f>
        <v>0.33231083202179479</v>
      </c>
      <c r="P2" s="1" t="s">
        <v>0</v>
      </c>
      <c r="Q2" s="1" t="s">
        <v>4</v>
      </c>
      <c r="R2" s="1"/>
      <c r="S2" s="1"/>
      <c r="T2" s="1"/>
      <c r="U2" s="1"/>
      <c r="V2" s="1"/>
      <c r="W2" s="1"/>
      <c r="X2" s="1"/>
    </row>
    <row r="3" spans="1:28" ht="18" x14ac:dyDescent="0.35">
      <c r="A3" s="1" t="s">
        <v>5</v>
      </c>
      <c r="B3" s="1">
        <v>1.5E-3</v>
      </c>
      <c r="C3" s="1"/>
      <c r="D3" s="1"/>
      <c r="E3" s="1" t="s">
        <v>6</v>
      </c>
      <c r="F3" s="2">
        <v>0.67702472853137119</v>
      </c>
      <c r="G3" s="1" t="s">
        <v>0</v>
      </c>
      <c r="H3" s="1" t="s">
        <v>7</v>
      </c>
      <c r="I3" s="1" t="s">
        <v>8</v>
      </c>
      <c r="J3" s="1" t="s">
        <v>5</v>
      </c>
      <c r="K3" s="1">
        <v>1.5E-3</v>
      </c>
      <c r="L3" s="1"/>
      <c r="N3" s="1" t="s">
        <v>6</v>
      </c>
      <c r="O3" s="2">
        <v>0.45197290042911753</v>
      </c>
      <c r="P3" s="1" t="s">
        <v>0</v>
      </c>
      <c r="Q3" s="1" t="s">
        <v>7</v>
      </c>
      <c r="R3" s="1" t="s">
        <v>8</v>
      </c>
      <c r="S3" s="1"/>
      <c r="T3" s="1"/>
      <c r="U3" s="1"/>
      <c r="V3" s="1"/>
      <c r="W3" s="1"/>
      <c r="X3" s="1"/>
    </row>
    <row r="4" spans="1:28" ht="18" x14ac:dyDescent="0.35">
      <c r="A4" s="1" t="s">
        <v>9</v>
      </c>
      <c r="B4" s="1">
        <v>1.4999999999999999E-2</v>
      </c>
      <c r="C4" s="1"/>
      <c r="D4" s="1"/>
      <c r="E4" s="1" t="s">
        <v>10</v>
      </c>
      <c r="F4" s="5">
        <f>(F8/B4)*(B2*F3)*((B2*F3)/(B2+2*F3))^(2/3)*B3^(1/2)</f>
        <v>2.4005679282845098</v>
      </c>
      <c r="G4" s="1" t="s">
        <v>40</v>
      </c>
      <c r="H4" s="1" t="s">
        <v>12</v>
      </c>
      <c r="I4" s="1" t="s">
        <v>13</v>
      </c>
      <c r="J4" s="1" t="s">
        <v>9</v>
      </c>
      <c r="K4" s="1">
        <v>1.4999999999999999E-2</v>
      </c>
      <c r="L4" s="1"/>
      <c r="N4" s="1" t="s">
        <v>10</v>
      </c>
      <c r="O4" s="5">
        <f>(O8/K4)*(K2*O3)*((K2*O3)/(K2+2*O3))^(2/3)*K3^(1/2)</f>
        <v>2.3999999992199483</v>
      </c>
      <c r="P4" s="1" t="s">
        <v>40</v>
      </c>
      <c r="Q4" s="1" t="s">
        <v>12</v>
      </c>
      <c r="R4" s="1" t="s">
        <v>13</v>
      </c>
      <c r="S4" s="1"/>
      <c r="T4" s="1"/>
      <c r="U4" s="1"/>
      <c r="V4" s="1"/>
      <c r="W4" s="1"/>
      <c r="X4" s="1"/>
    </row>
    <row r="5" spans="1:28" ht="16.5" x14ac:dyDescent="0.3">
      <c r="A5" s="1" t="s">
        <v>14</v>
      </c>
      <c r="B5" s="1">
        <v>2.4</v>
      </c>
      <c r="C5" s="1" t="s">
        <v>40</v>
      </c>
      <c r="D5" s="1"/>
      <c r="E5" s="1"/>
      <c r="F5" s="1"/>
      <c r="G5" s="1"/>
      <c r="H5" s="1"/>
      <c r="I5" s="1"/>
      <c r="J5" s="1" t="s">
        <v>14</v>
      </c>
      <c r="K5" s="1">
        <v>2.4</v>
      </c>
      <c r="L5" s="1" t="s">
        <v>40</v>
      </c>
      <c r="N5" s="1"/>
      <c r="O5" s="1"/>
      <c r="P5" s="1"/>
      <c r="Q5" s="1"/>
      <c r="R5" s="1"/>
      <c r="S5" s="1"/>
      <c r="T5" s="1"/>
      <c r="U5" s="1"/>
      <c r="V5" s="1"/>
      <c r="W5" s="1"/>
      <c r="X5" s="1"/>
    </row>
    <row r="6" spans="1:28" ht="16.5" x14ac:dyDescent="0.3">
      <c r="A6" s="1" t="s">
        <v>15</v>
      </c>
      <c r="B6" s="1">
        <v>0.36</v>
      </c>
      <c r="C6" s="1" t="s">
        <v>0</v>
      </c>
      <c r="D6" s="1"/>
      <c r="E6" s="1" t="s">
        <v>16</v>
      </c>
      <c r="F6" s="1"/>
      <c r="G6" s="1"/>
      <c r="H6" s="1"/>
      <c r="I6" s="1"/>
      <c r="J6" s="1"/>
      <c r="K6" s="1"/>
      <c r="L6" s="1"/>
      <c r="N6" s="1" t="s">
        <v>16</v>
      </c>
      <c r="O6" s="1"/>
      <c r="P6" s="1"/>
      <c r="Q6" s="1"/>
      <c r="R6" s="1"/>
      <c r="S6" s="1"/>
      <c r="T6" s="1"/>
      <c r="U6" s="1"/>
      <c r="V6" s="1"/>
      <c r="W6" s="1"/>
      <c r="X6" s="1"/>
    </row>
    <row r="7" spans="1:28" ht="18.75" x14ac:dyDescent="0.35">
      <c r="A7" s="1" t="s">
        <v>17</v>
      </c>
      <c r="B7" s="1">
        <v>0.6</v>
      </c>
      <c r="C7" s="1"/>
      <c r="D7" s="1"/>
      <c r="E7" s="1" t="s">
        <v>18</v>
      </c>
      <c r="F7" s="1">
        <v>9.81</v>
      </c>
      <c r="G7" s="1" t="s">
        <v>39</v>
      </c>
      <c r="H7" s="1"/>
      <c r="I7" s="1"/>
      <c r="J7" s="1"/>
      <c r="K7" s="1"/>
      <c r="L7" s="1"/>
      <c r="N7" s="1" t="s">
        <v>18</v>
      </c>
      <c r="O7" s="1">
        <v>9.81</v>
      </c>
      <c r="P7" s="1" t="s">
        <v>39</v>
      </c>
      <c r="Q7" s="1"/>
      <c r="R7" s="1"/>
      <c r="S7" s="1"/>
      <c r="T7" s="1"/>
      <c r="U7" s="1"/>
      <c r="V7" s="1"/>
      <c r="W7" s="1"/>
      <c r="X7" s="1"/>
    </row>
    <row r="8" spans="1:28" ht="18" x14ac:dyDescent="0.35">
      <c r="A8" s="1"/>
      <c r="B8" s="1"/>
      <c r="C8" s="1"/>
      <c r="D8" s="1"/>
      <c r="E8" s="1" t="s">
        <v>19</v>
      </c>
      <c r="F8" s="1">
        <v>1</v>
      </c>
      <c r="G8" s="1"/>
      <c r="H8" s="1"/>
      <c r="I8" s="1"/>
      <c r="J8" s="1"/>
      <c r="K8" s="1"/>
      <c r="N8" s="1" t="s">
        <v>19</v>
      </c>
      <c r="O8" s="1">
        <v>1</v>
      </c>
      <c r="P8" s="1"/>
      <c r="Q8" s="1"/>
      <c r="R8" s="1"/>
      <c r="S8" s="1"/>
      <c r="T8" s="1"/>
      <c r="U8" s="1"/>
      <c r="V8" s="1"/>
      <c r="W8" s="1"/>
      <c r="X8" s="1"/>
    </row>
    <row r="9" spans="1:28" ht="16.5" x14ac:dyDescent="0.3">
      <c r="A9" s="1"/>
      <c r="B9" s="1"/>
      <c r="C9" s="1"/>
      <c r="D9" s="1"/>
      <c r="E9" s="1"/>
      <c r="F9" s="1"/>
      <c r="G9" s="1"/>
      <c r="H9" s="1"/>
      <c r="I9" s="1"/>
      <c r="J9" s="1"/>
      <c r="K9" s="1"/>
      <c r="L9" s="1"/>
      <c r="M9" s="1"/>
      <c r="N9" s="1"/>
      <c r="O9" s="1"/>
      <c r="P9" s="1"/>
      <c r="Q9" s="1"/>
      <c r="R9" s="1"/>
      <c r="S9" s="1"/>
      <c r="T9" s="1"/>
      <c r="U9" s="1"/>
      <c r="V9" s="1"/>
      <c r="W9" s="1"/>
      <c r="X9" s="1"/>
    </row>
    <row r="10" spans="1:28" ht="16.5" x14ac:dyDescent="0.3">
      <c r="A10" s="1"/>
      <c r="B10" s="1"/>
      <c r="C10" s="1"/>
      <c r="D10" s="1"/>
      <c r="E10" s="1"/>
      <c r="F10" s="1"/>
      <c r="G10" s="1"/>
      <c r="H10" s="1"/>
      <c r="I10" s="1"/>
      <c r="J10" s="1"/>
      <c r="K10" s="1"/>
      <c r="L10" s="1"/>
      <c r="M10" s="1"/>
      <c r="N10" s="1"/>
      <c r="O10" s="1"/>
      <c r="P10" s="1"/>
      <c r="Q10" s="1"/>
      <c r="R10" s="1"/>
      <c r="S10" s="1"/>
      <c r="T10" s="1"/>
      <c r="U10" s="1"/>
      <c r="V10" s="1"/>
      <c r="W10" s="1"/>
      <c r="X10" s="1"/>
    </row>
    <row r="11" spans="1:28" ht="16.5" x14ac:dyDescent="0.3">
      <c r="A11" s="1"/>
      <c r="B11" s="1"/>
      <c r="C11" s="1"/>
      <c r="D11" s="1"/>
      <c r="E11" s="1"/>
      <c r="F11" s="1"/>
      <c r="G11" s="1"/>
      <c r="H11" s="1"/>
      <c r="I11" s="1"/>
      <c r="J11" s="1"/>
      <c r="K11" s="1"/>
      <c r="L11" s="1"/>
      <c r="M11" s="1"/>
      <c r="N11" s="1"/>
      <c r="O11" s="1"/>
      <c r="P11" s="1"/>
      <c r="Q11" s="1"/>
      <c r="R11" s="1"/>
      <c r="S11" s="1"/>
      <c r="T11" s="1"/>
      <c r="U11" s="1"/>
      <c r="V11" s="1"/>
      <c r="W11" s="1"/>
      <c r="X11" s="1"/>
    </row>
    <row r="12" spans="1:28" ht="16.5" x14ac:dyDescent="0.3">
      <c r="A12" s="1"/>
      <c r="B12" s="1"/>
      <c r="C12" s="1"/>
      <c r="D12" s="1"/>
      <c r="E12" s="1"/>
      <c r="F12" s="1"/>
      <c r="G12" s="1"/>
      <c r="H12" s="1"/>
      <c r="I12" s="1"/>
      <c r="J12" s="1"/>
      <c r="K12" s="1"/>
      <c r="L12" s="1"/>
      <c r="M12" s="1"/>
      <c r="N12" s="1"/>
      <c r="O12" s="1"/>
      <c r="P12" s="1"/>
      <c r="Q12" s="1"/>
      <c r="R12" s="1"/>
      <c r="S12" s="1"/>
      <c r="T12" s="1"/>
      <c r="U12" s="1"/>
      <c r="V12" s="1"/>
      <c r="W12" s="1"/>
      <c r="X12" s="1"/>
    </row>
    <row r="13" spans="1:28" ht="18.75" x14ac:dyDescent="0.35">
      <c r="A13" s="1" t="s">
        <v>20</v>
      </c>
      <c r="B13" s="1" t="s">
        <v>21</v>
      </c>
      <c r="C13" s="1" t="s">
        <v>22</v>
      </c>
      <c r="D13" s="1" t="s">
        <v>23</v>
      </c>
      <c r="E13" s="1" t="s">
        <v>24</v>
      </c>
      <c r="F13" s="1" t="s">
        <v>25</v>
      </c>
      <c r="G13" s="1" t="s">
        <v>26</v>
      </c>
      <c r="H13" s="1" t="s">
        <v>27</v>
      </c>
      <c r="I13" s="1" t="s">
        <v>28</v>
      </c>
      <c r="J13" s="1" t="s">
        <v>29</v>
      </c>
      <c r="K13" s="1" t="s">
        <v>30</v>
      </c>
      <c r="L13" s="1" t="s">
        <v>31</v>
      </c>
      <c r="M13" s="1" t="s">
        <v>32</v>
      </c>
      <c r="N13" s="1" t="s">
        <v>33</v>
      </c>
      <c r="O13" s="1" t="s">
        <v>34</v>
      </c>
      <c r="P13" s="1" t="s">
        <v>35</v>
      </c>
      <c r="Q13" s="1" t="s">
        <v>36</v>
      </c>
      <c r="R13" s="1" t="s">
        <v>37</v>
      </c>
      <c r="W13" s="1" t="str">
        <f>A13</f>
        <v>x</v>
      </c>
      <c r="X13" s="1" t="str">
        <f>B13</f>
        <v>z</v>
      </c>
      <c r="Y13" s="1" t="str">
        <f t="shared" ref="Y13:AA14" si="0">P13</f>
        <v>Z</v>
      </c>
      <c r="Z13" s="1" t="str">
        <f t="shared" si="0"/>
        <v>Zc</v>
      </c>
      <c r="AA13" s="1" t="str">
        <f t="shared" si="0"/>
        <v>Zn</v>
      </c>
      <c r="AB13" s="1" t="str">
        <f>J13</f>
        <v>H</v>
      </c>
    </row>
    <row r="14" spans="1:28" ht="18" x14ac:dyDescent="0.3">
      <c r="A14" s="1" t="s">
        <v>0</v>
      </c>
      <c r="B14" s="1" t="s">
        <v>0</v>
      </c>
      <c r="C14" s="1" t="s">
        <v>0</v>
      </c>
      <c r="D14" s="1" t="s">
        <v>44</v>
      </c>
      <c r="E14" s="1" t="s">
        <v>0</v>
      </c>
      <c r="F14" s="1" t="s">
        <v>43</v>
      </c>
      <c r="G14" s="1" t="s">
        <v>0</v>
      </c>
      <c r="H14" s="1" t="s">
        <v>0</v>
      </c>
      <c r="I14" s="1" t="s">
        <v>42</v>
      </c>
      <c r="J14" s="1" t="s">
        <v>0</v>
      </c>
      <c r="K14" s="1"/>
      <c r="L14" s="1" t="s">
        <v>0</v>
      </c>
      <c r="M14" s="1" t="s">
        <v>0</v>
      </c>
      <c r="N14" s="1"/>
      <c r="O14" s="1" t="s">
        <v>41</v>
      </c>
      <c r="P14" s="1" t="s">
        <v>0</v>
      </c>
      <c r="Q14" s="1" t="s">
        <v>0</v>
      </c>
      <c r="R14" s="1" t="s">
        <v>0</v>
      </c>
      <c r="W14" s="1" t="str">
        <f>A14</f>
        <v>m</v>
      </c>
      <c r="X14" s="1" t="str">
        <f>B14</f>
        <v>m</v>
      </c>
      <c r="Y14" s="1" t="str">
        <f t="shared" si="0"/>
        <v>m</v>
      </c>
      <c r="Z14" s="1" t="str">
        <f t="shared" si="0"/>
        <v>m</v>
      </c>
      <c r="AA14" s="1" t="str">
        <f t="shared" si="0"/>
        <v>m</v>
      </c>
      <c r="AB14" s="1" t="str">
        <f>J14</f>
        <v>m</v>
      </c>
    </row>
    <row r="15" spans="1:28" ht="16.5" x14ac:dyDescent="0.3">
      <c r="A15" s="1">
        <v>0</v>
      </c>
      <c r="B15" s="1">
        <f>A15*$B$3</f>
        <v>0</v>
      </c>
      <c r="C15" s="1">
        <v>1.4</v>
      </c>
      <c r="D15" s="1">
        <f>IF(A15&gt;=100, $B$2*C15, $K$2*C15)</f>
        <v>5.6</v>
      </c>
      <c r="E15" s="1">
        <f>IF(A15&gt;=100, $B$2+2*C15, $K$2+2*C15)</f>
        <v>6.8</v>
      </c>
      <c r="F15" s="1">
        <f>$B$5/D15</f>
        <v>0.4285714285714286</v>
      </c>
      <c r="G15" s="1">
        <f>(F15)^2/(2*$F$7)</f>
        <v>9.3615427822505166E-3</v>
      </c>
      <c r="H15" s="1">
        <f>D15/E15</f>
        <v>0.82352941176470584</v>
      </c>
      <c r="I15" s="1">
        <f>($F$8/$B$4)*D15*H15^(2/3)</f>
        <v>328.00679763304726</v>
      </c>
      <c r="J15" s="1">
        <f>B15+C15+G15</f>
        <v>1.4093615427822503</v>
      </c>
      <c r="K15" s="1"/>
      <c r="L15" s="1"/>
      <c r="M15" s="1"/>
      <c r="N15" s="2">
        <f>($B$5^2/($F$7*(D15^3/$B$2)))</f>
        <v>8.0241795276432982E-3</v>
      </c>
      <c r="O15" s="2">
        <f>IF(A15&gt;=100,$B$2*C15^2/2+$B$5^2/($F$7*D15),$K$2*C15^2/2+$B$5^2/($F$7*D15))</f>
        <v>4.0248492791612049</v>
      </c>
      <c r="P15" s="2">
        <f>C15+B15</f>
        <v>1.4</v>
      </c>
      <c r="Q15" s="2">
        <f>$F$4+B15</f>
        <v>2.4005679282845098</v>
      </c>
      <c r="R15" s="2">
        <f>$F$5+B15</f>
        <v>0</v>
      </c>
      <c r="W15" s="1">
        <v>0</v>
      </c>
      <c r="X15" s="1">
        <v>0</v>
      </c>
      <c r="Y15" s="2">
        <v>1.4</v>
      </c>
      <c r="Z15" s="2">
        <f>X15+$O$2</f>
        <v>0.33231083202179479</v>
      </c>
      <c r="AA15" s="2">
        <f>X15+$O$3</f>
        <v>0.45197290042911753</v>
      </c>
      <c r="AB15" s="1">
        <v>1.4093615427822503</v>
      </c>
    </row>
    <row r="16" spans="1:28" ht="16.5" x14ac:dyDescent="0.3">
      <c r="A16" s="1">
        <v>20</v>
      </c>
      <c r="B16" s="1">
        <f t="shared" ref="B16:B24" si="1">A16*$B$3</f>
        <v>0.03</v>
      </c>
      <c r="C16" s="7">
        <v>1.3706980166648668</v>
      </c>
      <c r="D16" s="1">
        <f t="shared" ref="D16:D24" si="2">IF(A16&gt;=100, $B$2*C16, $K$2*C16)</f>
        <v>5.4827920666594672</v>
      </c>
      <c r="E16" s="1">
        <f t="shared" ref="E16:E24" si="3">IF(A16&gt;=100, $B$2+2*C16, $K$2+2*C16)</f>
        <v>6.7413960333297336</v>
      </c>
      <c r="F16" s="1">
        <f t="shared" ref="F16:F24" si="4">$B$5/D16</f>
        <v>0.43773317879301993</v>
      </c>
      <c r="G16" s="1">
        <f t="shared" ref="G16:G24" si="5">(F16)^2/(2*$F$7)</f>
        <v>9.7660721618879689E-3</v>
      </c>
      <c r="H16" s="1">
        <f t="shared" ref="H16:H24" si="6">D16/E16</f>
        <v>0.81330217651541648</v>
      </c>
      <c r="I16" s="1">
        <f t="shared" ref="I16:I24" si="7">($F$8/$B$4)*D16*H16^(2/3)</f>
        <v>318.477292879966</v>
      </c>
      <c r="J16" s="1">
        <f t="shared" ref="J16:J24" si="8">B16+C16+G16</f>
        <v>1.4104640888267548</v>
      </c>
      <c r="K16" s="1">
        <f>($B$5)^2/((I15+I16)/2)^2</f>
        <v>5.5127308765511866E-5</v>
      </c>
      <c r="L16" s="1">
        <f>K16*(A16-A15)</f>
        <v>1.1025461753102373E-3</v>
      </c>
      <c r="M16" s="6">
        <f>J16-(J15+L16)</f>
        <v>-1.3080581062752117E-10</v>
      </c>
      <c r="N16" s="2">
        <f t="shared" ref="N16:N24" si="9">($B$5^2/($F$7*(D16^3/$B$2)))</f>
        <v>8.5498676234904841E-3</v>
      </c>
      <c r="O16" s="2">
        <f t="shared" ref="O16:O24" si="10">IF(A16&gt;=100,$B$2*C16^2/2+$B$5^2/($F$7*D16),$K$2*C16^2/2+$B$5^2/($F$7*D16))</f>
        <v>3.8647167917212455</v>
      </c>
      <c r="P16" s="2">
        <f t="shared" ref="P16:P24" si="11">C16+B16</f>
        <v>1.4006980166648668</v>
      </c>
      <c r="Q16" s="2">
        <f>$F$4+B16</f>
        <v>2.4305679282845096</v>
      </c>
      <c r="R16" s="2">
        <f>$F$5+B16</f>
        <v>0.03</v>
      </c>
      <c r="W16" s="1">
        <v>20</v>
      </c>
      <c r="X16" s="1">
        <v>0.03</v>
      </c>
      <c r="Y16" s="2">
        <v>1.4006980166648668</v>
      </c>
      <c r="Z16" s="2">
        <f t="shared" ref="Z16:Z20" si="12">X16+$O$2</f>
        <v>0.36231083202179482</v>
      </c>
      <c r="AA16" s="2">
        <f t="shared" ref="AA16:AA20" si="13">X16+$O$3</f>
        <v>0.48197290042911756</v>
      </c>
      <c r="AB16" s="1">
        <v>1.4104640888267548</v>
      </c>
    </row>
    <row r="17" spans="1:28" ht="16.5" x14ac:dyDescent="0.3">
      <c r="A17" s="1">
        <v>40</v>
      </c>
      <c r="B17" s="1">
        <f t="shared" si="1"/>
        <v>0.06</v>
      </c>
      <c r="C17" s="7">
        <v>1.3414376049771861</v>
      </c>
      <c r="D17" s="1">
        <f t="shared" si="2"/>
        <v>5.3657504199087445</v>
      </c>
      <c r="E17" s="1">
        <f t="shared" si="3"/>
        <v>6.6828752099543722</v>
      </c>
      <c r="F17" s="1">
        <f t="shared" si="4"/>
        <v>0.44728133293251771</v>
      </c>
      <c r="G17" s="1">
        <f t="shared" si="5"/>
        <v>1.0196768134041271E-2</v>
      </c>
      <c r="H17" s="1">
        <f t="shared" si="6"/>
        <v>0.80291046164026447</v>
      </c>
      <c r="I17" s="1">
        <f t="shared" si="7"/>
        <v>309.01812538378277</v>
      </c>
      <c r="J17" s="1">
        <f t="shared" si="8"/>
        <v>1.4116343731112275</v>
      </c>
      <c r="K17" s="1">
        <f t="shared" ref="K17:K24" si="14">($B$5)^2/((I16+I17)/2)^2</f>
        <v>5.8514211419144862E-5</v>
      </c>
      <c r="L17" s="1">
        <f t="shared" ref="L17:L24" si="15">K17*(A17-A16)</f>
        <v>1.1702842283828972E-3</v>
      </c>
      <c r="M17" s="6">
        <f t="shared" ref="M17:M24" si="16">J17-(J16+L17)</f>
        <v>5.6089799471692459E-11</v>
      </c>
      <c r="N17" s="2">
        <f t="shared" si="9"/>
        <v>9.1216480851956019E-3</v>
      </c>
      <c r="O17" s="2">
        <f t="shared" si="10"/>
        <v>3.7083363218877468</v>
      </c>
      <c r="P17" s="2">
        <f t="shared" si="11"/>
        <v>1.4014376049771862</v>
      </c>
      <c r="Q17" s="2">
        <f t="shared" ref="Q17:Q24" si="17">$F$4+B17</f>
        <v>2.4605679282845099</v>
      </c>
      <c r="R17" s="2">
        <f t="shared" ref="R17:R24" si="18">$F$5+B17</f>
        <v>0.06</v>
      </c>
      <c r="W17" s="1">
        <v>40</v>
      </c>
      <c r="X17" s="1">
        <v>0.06</v>
      </c>
      <c r="Y17" s="2">
        <v>1.4014376049771862</v>
      </c>
      <c r="Z17" s="2">
        <f t="shared" si="12"/>
        <v>0.39231083202179479</v>
      </c>
      <c r="AA17" s="2">
        <f t="shared" si="13"/>
        <v>0.51197290042911758</v>
      </c>
      <c r="AB17" s="1">
        <v>1.4116343731112275</v>
      </c>
    </row>
    <row r="18" spans="1:28" ht="16.5" x14ac:dyDescent="0.3">
      <c r="A18" s="1">
        <v>60</v>
      </c>
      <c r="B18" s="1">
        <f t="shared" si="1"/>
        <v>0.09</v>
      </c>
      <c r="C18" s="7">
        <v>1.312222386557516</v>
      </c>
      <c r="D18" s="1">
        <f t="shared" si="2"/>
        <v>5.248889546230064</v>
      </c>
      <c r="E18" s="1">
        <f t="shared" si="3"/>
        <v>6.624444773115032</v>
      </c>
      <c r="F18" s="1">
        <f t="shared" si="4"/>
        <v>0.4572395701722784</v>
      </c>
      <c r="G18" s="1">
        <f t="shared" si="5"/>
        <v>1.0655862616275732E-2</v>
      </c>
      <c r="H18" s="1">
        <f t="shared" si="6"/>
        <v>0.79235161979648649</v>
      </c>
      <c r="I18" s="1">
        <f t="shared" si="7"/>
        <v>299.63196441018181</v>
      </c>
      <c r="J18" s="1">
        <f t="shared" si="8"/>
        <v>1.4128782491737919</v>
      </c>
      <c r="K18" s="1">
        <f t="shared" si="14"/>
        <v>6.2193800167986672E-5</v>
      </c>
      <c r="L18" s="1">
        <f t="shared" si="15"/>
        <v>1.2438760033597334E-3</v>
      </c>
      <c r="M18" s="6">
        <f t="shared" si="16"/>
        <v>5.9204641189580798E-11</v>
      </c>
      <c r="N18" s="2">
        <f t="shared" si="9"/>
        <v>9.7445640849615333E-3</v>
      </c>
      <c r="O18" s="2">
        <f t="shared" si="10"/>
        <v>3.555718075350673</v>
      </c>
      <c r="P18" s="2">
        <f t="shared" si="11"/>
        <v>1.4022223865575161</v>
      </c>
      <c r="Q18" s="2">
        <f t="shared" si="17"/>
        <v>2.4905679282845097</v>
      </c>
      <c r="R18" s="2">
        <f t="shared" si="18"/>
        <v>0.09</v>
      </c>
      <c r="W18" s="1">
        <v>60</v>
      </c>
      <c r="X18" s="1">
        <v>0.09</v>
      </c>
      <c r="Y18" s="2">
        <v>1.4022223865575161</v>
      </c>
      <c r="Z18" s="2">
        <f t="shared" si="12"/>
        <v>0.42231083202179476</v>
      </c>
      <c r="AA18" s="2">
        <f t="shared" si="13"/>
        <v>0.5419729004291175</v>
      </c>
      <c r="AB18" s="1">
        <v>1.4128782491737919</v>
      </c>
    </row>
    <row r="19" spans="1:28" ht="16.5" x14ac:dyDescent="0.3">
      <c r="A19" s="1">
        <v>80</v>
      </c>
      <c r="B19" s="1">
        <f t="shared" si="1"/>
        <v>0.12</v>
      </c>
      <c r="C19" s="7">
        <v>1.2830563954735694</v>
      </c>
      <c r="D19" s="1">
        <f t="shared" si="2"/>
        <v>5.1322255818942777</v>
      </c>
      <c r="E19" s="1">
        <f t="shared" si="3"/>
        <v>6.5661127909471393</v>
      </c>
      <c r="F19" s="1">
        <f t="shared" si="4"/>
        <v>0.46763338082153677</v>
      </c>
      <c r="G19" s="1">
        <f t="shared" si="5"/>
        <v>1.1145819513689113E-2</v>
      </c>
      <c r="H19" s="1">
        <f t="shared" si="6"/>
        <v>0.78162312243100707</v>
      </c>
      <c r="I19" s="1">
        <f t="shared" si="7"/>
        <v>290.32164124627661</v>
      </c>
      <c r="J19" s="1">
        <f t="shared" si="8"/>
        <v>1.4142022149872584</v>
      </c>
      <c r="K19" s="1">
        <f t="shared" si="14"/>
        <v>6.6198287573413452E-5</v>
      </c>
      <c r="L19" s="1">
        <f t="shared" si="15"/>
        <v>1.323965751468269E-3</v>
      </c>
      <c r="M19" s="6">
        <f t="shared" si="16"/>
        <v>6.1998184364142617E-11</v>
      </c>
      <c r="N19" s="2">
        <f t="shared" si="9"/>
        <v>1.0424314522426195E-2</v>
      </c>
      <c r="O19" s="2">
        <f t="shared" si="10"/>
        <v>3.4068731480099208</v>
      </c>
      <c r="P19" s="2">
        <f t="shared" si="11"/>
        <v>1.4030563954735693</v>
      </c>
      <c r="Q19" s="2">
        <f t="shared" si="17"/>
        <v>2.5205679282845099</v>
      </c>
      <c r="R19" s="2">
        <f t="shared" si="18"/>
        <v>0.12</v>
      </c>
      <c r="W19" s="1">
        <v>80</v>
      </c>
      <c r="X19" s="1">
        <v>0.12</v>
      </c>
      <c r="Y19" s="2">
        <v>1.4030563954735693</v>
      </c>
      <c r="Z19" s="2">
        <f t="shared" si="12"/>
        <v>0.45231083202179478</v>
      </c>
      <c r="AA19" s="2">
        <f t="shared" si="13"/>
        <v>0.57197290042911753</v>
      </c>
      <c r="AB19" s="1">
        <v>1.4142022149872584</v>
      </c>
    </row>
    <row r="20" spans="1:28" ht="16.5" x14ac:dyDescent="0.3">
      <c r="A20" s="1">
        <v>100</v>
      </c>
      <c r="B20" s="1">
        <f t="shared" si="1"/>
        <v>0.15</v>
      </c>
      <c r="C20" s="7">
        <v>1.2539441356567689</v>
      </c>
      <c r="D20" s="1">
        <f>$K$2*C20</f>
        <v>5.0157765426270755</v>
      </c>
      <c r="E20" s="1">
        <f>$K$2+2*C20</f>
        <v>6.5078882713135382</v>
      </c>
      <c r="F20" s="1">
        <f t="shared" si="4"/>
        <v>0.4784902157429386</v>
      </c>
      <c r="G20" s="1">
        <f t="shared" si="5"/>
        <v>1.1669362210077671E-2</v>
      </c>
      <c r="H20" s="1">
        <f t="shared" si="6"/>
        <v>0.77072259595119041</v>
      </c>
      <c r="I20" s="1">
        <f t="shared" si="7"/>
        <v>281.09016395674223</v>
      </c>
      <c r="J20" s="1">
        <f t="shared" si="8"/>
        <v>1.4156134978668464</v>
      </c>
      <c r="K20" s="1">
        <f t="shared" si="14"/>
        <v>7.0564140769302394E-5</v>
      </c>
      <c r="L20" s="1">
        <f t="shared" si="15"/>
        <v>1.411282815386048E-3</v>
      </c>
      <c r="M20" s="6">
        <f t="shared" si="16"/>
        <v>6.4201977068023552E-11</v>
      </c>
      <c r="N20" s="2">
        <f t="shared" si="9"/>
        <v>1.1167351282965119E-2</v>
      </c>
      <c r="O20" s="2">
        <f>$K$2*C20^2/2+$B$5^2/($F$7*D20)</f>
        <v>3.261813617177455</v>
      </c>
      <c r="P20" s="2">
        <f t="shared" si="11"/>
        <v>1.4039441356567688</v>
      </c>
      <c r="Q20" s="2">
        <f t="shared" si="17"/>
        <v>2.5505679282845097</v>
      </c>
      <c r="R20" s="2">
        <f t="shared" si="18"/>
        <v>0.15</v>
      </c>
      <c r="W20" s="1">
        <v>100</v>
      </c>
      <c r="X20" s="1">
        <v>0.15</v>
      </c>
      <c r="Y20" s="2">
        <v>1.4039441356567688</v>
      </c>
      <c r="Z20" s="2">
        <f t="shared" si="12"/>
        <v>0.48231083202179481</v>
      </c>
      <c r="AA20" s="2">
        <f t="shared" si="13"/>
        <v>0.60197290042911755</v>
      </c>
      <c r="AB20" s="1">
        <v>1.4156134978668464</v>
      </c>
    </row>
    <row r="21" spans="1:28" ht="16.5" x14ac:dyDescent="0.3">
      <c r="A21" s="1">
        <v>100</v>
      </c>
      <c r="B21" s="1">
        <f>A21*$B$3</f>
        <v>0.15</v>
      </c>
      <c r="C21" s="7">
        <v>1.232035509630915</v>
      </c>
      <c r="D21" s="1">
        <f>IF(A21&gt;=100, $B$2*C21, $K$2*C21)</f>
        <v>2.9568852231141958</v>
      </c>
      <c r="E21" s="1">
        <f>IF(A21&gt;=100, $B$2+2*C21, $K$2+2*C21)</f>
        <v>4.8640710192618304</v>
      </c>
      <c r="F21" s="1">
        <f t="shared" si="4"/>
        <v>0.811664917271397</v>
      </c>
      <c r="G21" s="1">
        <f t="shared" si="5"/>
        <v>3.3577978487725979E-2</v>
      </c>
      <c r="H21" s="1">
        <f t="shared" si="6"/>
        <v>0.60790338204455974</v>
      </c>
      <c r="I21" s="1">
        <f t="shared" si="7"/>
        <v>141.45975912747977</v>
      </c>
      <c r="J21" s="1">
        <f t="shared" si="8"/>
        <v>1.4156134881186409</v>
      </c>
      <c r="K21" s="1">
        <f t="shared" si="14"/>
        <v>1.2904061398014694E-4</v>
      </c>
      <c r="L21" s="1"/>
      <c r="M21" s="13">
        <f t="shared" si="16"/>
        <v>-9.7482055760877984E-9</v>
      </c>
      <c r="N21" s="2">
        <f t="shared" si="9"/>
        <v>5.4508134262761701E-2</v>
      </c>
      <c r="O21" s="2">
        <f>IF(A21&gt;=100,$B$2*C21^2/2+$B$5^2/($F$7*D21),$K$2*C21^2/2+$B$5^2/($F$7*D21))</f>
        <v>2.0200662532146163</v>
      </c>
      <c r="P21" s="2">
        <f t="shared" si="11"/>
        <v>1.3820355096309149</v>
      </c>
      <c r="Q21" s="2">
        <f t="shared" si="17"/>
        <v>2.5505679282845097</v>
      </c>
      <c r="R21" s="2">
        <f t="shared" si="18"/>
        <v>0.15</v>
      </c>
      <c r="W21" s="1">
        <v>100</v>
      </c>
      <c r="X21" s="1">
        <v>0.15</v>
      </c>
      <c r="Y21" s="2">
        <v>1.3820355096309149</v>
      </c>
      <c r="Z21" s="2">
        <f t="shared" ref="Z21:Z30" si="19">X21+$F$2</f>
        <v>0.61713635126797373</v>
      </c>
      <c r="AA21" s="2">
        <f t="shared" ref="AA21:AA30" si="20">X21+$F$3</f>
        <v>0.82702472853137121</v>
      </c>
      <c r="AB21" s="1">
        <v>1.4156134881186409</v>
      </c>
    </row>
    <row r="22" spans="1:28" ht="16.5" x14ac:dyDescent="0.3">
      <c r="A22" s="1">
        <v>120</v>
      </c>
      <c r="B22" s="1">
        <f>A22*$B$3</f>
        <v>0.18</v>
      </c>
      <c r="C22" s="7">
        <v>1.2065185020804383</v>
      </c>
      <c r="D22" s="1">
        <f>IF(A22&gt;=100, $B$2*C22, $K$2*C22)</f>
        <v>2.8956444049930519</v>
      </c>
      <c r="E22" s="1">
        <f>IF(A22&gt;=100, $B$2+2*C22, $K$2+2*C22)</f>
        <v>4.8130370041608765</v>
      </c>
      <c r="F22" s="1">
        <f t="shared" si="4"/>
        <v>0.82883105254968581</v>
      </c>
      <c r="G22" s="1">
        <f t="shared" si="5"/>
        <v>3.5013298352223242E-2</v>
      </c>
      <c r="H22" s="1">
        <f t="shared" si="6"/>
        <v>0.60162521137688396</v>
      </c>
      <c r="I22" s="1">
        <f t="shared" si="7"/>
        <v>137.57451393603301</v>
      </c>
      <c r="J22" s="1">
        <f t="shared" si="8"/>
        <v>1.4215318004326616</v>
      </c>
      <c r="K22" s="1">
        <f t="shared" si="14"/>
        <v>2.9591526906741451E-4</v>
      </c>
      <c r="L22" s="1">
        <f>K22*(A22-A21)</f>
        <v>5.9183053813482902E-3</v>
      </c>
      <c r="M22" s="6">
        <f>J22-(J21+L22)</f>
        <v>6.9326724361218339E-9</v>
      </c>
      <c r="N22" s="2">
        <f t="shared" si="9"/>
        <v>5.8040217853018744E-2</v>
      </c>
      <c r="O22" s="2">
        <f>IF(A22&gt;=100,$B$2*C22^2/2+$B$5^2/($F$7*D22),$K$2*C22^2/2+$B$5^2/($F$7*D22))</f>
        <v>1.949596397982845</v>
      </c>
      <c r="P22" s="2">
        <f t="shared" si="11"/>
        <v>1.3865185020804383</v>
      </c>
      <c r="Q22" s="2">
        <f t="shared" si="17"/>
        <v>2.58056792828451</v>
      </c>
      <c r="R22" s="2">
        <f t="shared" si="18"/>
        <v>0.18</v>
      </c>
      <c r="W22" s="1">
        <v>120</v>
      </c>
      <c r="X22" s="1">
        <v>0.18</v>
      </c>
      <c r="Y22" s="16">
        <v>1.3865185020804383</v>
      </c>
      <c r="Z22" s="2">
        <f t="shared" si="19"/>
        <v>0.64713635126797375</v>
      </c>
      <c r="AA22" s="2">
        <f t="shared" si="20"/>
        <v>0.85702472853137124</v>
      </c>
      <c r="AB22" s="2">
        <v>1.4215318004326616</v>
      </c>
    </row>
    <row r="23" spans="1:28" ht="16.5" x14ac:dyDescent="0.3">
      <c r="A23" s="1">
        <v>140</v>
      </c>
      <c r="B23" s="1">
        <f t="shared" si="1"/>
        <v>0.21</v>
      </c>
      <c r="C23" s="7">
        <v>1.18126505891585</v>
      </c>
      <c r="D23" s="1">
        <f t="shared" si="2"/>
        <v>2.8350361413980401</v>
      </c>
      <c r="E23" s="1">
        <f t="shared" si="3"/>
        <v>4.7625301178316999</v>
      </c>
      <c r="F23" s="1">
        <f t="shared" si="4"/>
        <v>0.84655005449647958</v>
      </c>
      <c r="G23" s="1">
        <f t="shared" si="5"/>
        <v>3.6526350395922148E-2</v>
      </c>
      <c r="H23" s="1">
        <f t="shared" si="6"/>
        <v>0.59527941477644331</v>
      </c>
      <c r="I23" s="1">
        <f t="shared" si="7"/>
        <v>133.74613800099033</v>
      </c>
      <c r="J23" s="1">
        <f t="shared" si="8"/>
        <v>1.4277914093117721</v>
      </c>
      <c r="K23" s="1">
        <f t="shared" si="14"/>
        <v>3.1298013309107996E-4</v>
      </c>
      <c r="L23" s="1">
        <f>K23*(A23-A22)</f>
        <v>6.2596026618215988E-3</v>
      </c>
      <c r="M23" s="6">
        <f t="shared" si="16"/>
        <v>6.2172889059297631E-9</v>
      </c>
      <c r="N23" s="2">
        <f t="shared" si="9"/>
        <v>6.1842767836450797E-2</v>
      </c>
      <c r="O23" s="2">
        <f t="shared" si="10"/>
        <v>1.8815716142701755</v>
      </c>
      <c r="P23" s="2">
        <f t="shared" si="11"/>
        <v>1.39126505891585</v>
      </c>
      <c r="Q23" s="2">
        <f t="shared" si="17"/>
        <v>2.6105679282845098</v>
      </c>
      <c r="R23" s="2">
        <f t="shared" si="18"/>
        <v>0.21</v>
      </c>
      <c r="W23" s="1">
        <v>140</v>
      </c>
      <c r="X23" s="1">
        <v>0.21</v>
      </c>
      <c r="Y23">
        <v>1.39126505891585</v>
      </c>
      <c r="Z23" s="2">
        <f t="shared" si="19"/>
        <v>0.67713635126797378</v>
      </c>
      <c r="AA23" s="2">
        <f t="shared" si="20"/>
        <v>0.88702472853137115</v>
      </c>
      <c r="AB23" s="2">
        <v>1.4277914093117721</v>
      </c>
    </row>
    <row r="24" spans="1:28" ht="16.5" x14ac:dyDescent="0.3">
      <c r="A24" s="1">
        <v>150</v>
      </c>
      <c r="B24" s="1">
        <f t="shared" si="1"/>
        <v>0.22500000000000001</v>
      </c>
      <c r="C24" s="7">
        <v>1.1687443209886901</v>
      </c>
      <c r="D24" s="1">
        <f t="shared" si="2"/>
        <v>2.8049863703728559</v>
      </c>
      <c r="E24" s="1">
        <f t="shared" si="3"/>
        <v>4.7374886419773805</v>
      </c>
      <c r="F24" s="1">
        <f t="shared" si="4"/>
        <v>0.85561913075569673</v>
      </c>
      <c r="G24" s="1">
        <f t="shared" si="5"/>
        <v>3.7313154786704078E-2</v>
      </c>
      <c r="H24" s="1">
        <f t="shared" si="6"/>
        <v>0.59208297525375864</v>
      </c>
      <c r="I24" s="1">
        <f t="shared" si="7"/>
        <v>131.8543752490697</v>
      </c>
      <c r="J24" s="1">
        <f t="shared" si="8"/>
        <v>1.4310574757753942</v>
      </c>
      <c r="K24" s="1">
        <f t="shared" si="14"/>
        <v>3.2660637307982724E-4</v>
      </c>
      <c r="L24" s="1">
        <f t="shared" si="15"/>
        <v>3.2660637307982722E-3</v>
      </c>
      <c r="M24" s="6">
        <f t="shared" si="16"/>
        <v>2.7328239671220445E-9</v>
      </c>
      <c r="N24" s="2">
        <f t="shared" si="9"/>
        <v>6.3851698128705031E-2</v>
      </c>
      <c r="O24" s="2">
        <f t="shared" si="10"/>
        <v>1.8484817266366123</v>
      </c>
      <c r="P24" s="2">
        <f t="shared" si="11"/>
        <v>1.3937443209886902</v>
      </c>
      <c r="Q24" s="2">
        <f t="shared" si="17"/>
        <v>2.6255679282845099</v>
      </c>
      <c r="R24" s="2">
        <f t="shared" si="18"/>
        <v>0.22500000000000001</v>
      </c>
      <c r="W24" s="1">
        <v>150</v>
      </c>
      <c r="X24" s="1">
        <v>0.22500000000000001</v>
      </c>
      <c r="Z24" s="2">
        <f t="shared" si="19"/>
        <v>0.69213635126797379</v>
      </c>
      <c r="AA24" s="2">
        <f t="shared" si="20"/>
        <v>0.90202472853137117</v>
      </c>
      <c r="AB24" s="2"/>
    </row>
    <row r="25" spans="1:28" ht="16.5" x14ac:dyDescent="0.3">
      <c r="A25" s="1"/>
      <c r="B25" s="1"/>
      <c r="C25" s="1"/>
      <c r="D25" s="1"/>
      <c r="E25" s="1"/>
      <c r="F25" s="1"/>
      <c r="G25" s="1"/>
      <c r="H25" s="1"/>
      <c r="I25" s="1"/>
      <c r="J25" s="1"/>
      <c r="K25" s="1"/>
      <c r="L25" s="1"/>
      <c r="M25" s="10"/>
      <c r="N25" s="2"/>
      <c r="O25" s="2"/>
      <c r="P25" s="2"/>
      <c r="Q25" s="2"/>
      <c r="R25" s="2"/>
      <c r="W25" s="1">
        <v>150</v>
      </c>
      <c r="X25" s="1">
        <v>0.22500000000000001</v>
      </c>
      <c r="Y25">
        <v>2.0928312835301548</v>
      </c>
      <c r="Z25" s="2">
        <f t="shared" si="19"/>
        <v>0.69213635126797379</v>
      </c>
      <c r="AA25" s="2">
        <f t="shared" si="20"/>
        <v>0.90202472853137117</v>
      </c>
      <c r="AB25" s="2">
        <v>2.1074404590562694</v>
      </c>
    </row>
    <row r="26" spans="1:28" ht="16.5" x14ac:dyDescent="0.3">
      <c r="Q26" s="2"/>
      <c r="R26" s="2"/>
      <c r="W26" s="1">
        <v>160</v>
      </c>
      <c r="X26" s="1">
        <v>0.24</v>
      </c>
      <c r="Y26" s="1">
        <v>2.0935955882457167</v>
      </c>
      <c r="Z26" s="2">
        <f t="shared" si="19"/>
        <v>0.70713635126797381</v>
      </c>
      <c r="AA26" s="2">
        <f t="shared" si="20"/>
        <v>0.91702472853137118</v>
      </c>
      <c r="AB26" s="1">
        <v>2.1084300236814095</v>
      </c>
    </row>
    <row r="27" spans="1:28" ht="16.5" x14ac:dyDescent="0.3">
      <c r="D27" s="2"/>
      <c r="Q27" s="2"/>
      <c r="R27" s="2"/>
      <c r="W27" s="1">
        <v>170</v>
      </c>
      <c r="X27" s="1">
        <v>0.255</v>
      </c>
      <c r="Y27" s="1">
        <v>2.0943742359665727</v>
      </c>
      <c r="Z27" s="2">
        <f t="shared" si="19"/>
        <v>0.72213635126797371</v>
      </c>
      <c r="AA27" s="2">
        <f t="shared" si="20"/>
        <v>0.93202472853137119</v>
      </c>
      <c r="AB27" s="1">
        <v>2.1094389467666179</v>
      </c>
    </row>
    <row r="28" spans="1:28" ht="16.5" x14ac:dyDescent="0.3">
      <c r="A28" s="1"/>
      <c r="B28" s="1"/>
      <c r="C28" s="1"/>
      <c r="D28" s="1"/>
      <c r="E28" s="1"/>
      <c r="F28" s="1"/>
      <c r="G28" s="1"/>
      <c r="H28" s="1"/>
      <c r="I28" s="1"/>
      <c r="J28" s="1"/>
      <c r="K28" s="1"/>
      <c r="L28" s="1"/>
      <c r="M28" s="1"/>
      <c r="N28" s="1"/>
      <c r="O28" s="1"/>
      <c r="P28" s="1"/>
      <c r="Q28" s="1"/>
      <c r="R28" s="1"/>
      <c r="W28" s="1">
        <v>180</v>
      </c>
      <c r="X28" s="1">
        <v>0.27</v>
      </c>
      <c r="Y28" s="1">
        <v>2.095167617137168</v>
      </c>
      <c r="Z28" s="2">
        <f t="shared" si="19"/>
        <v>0.73713635126797383</v>
      </c>
      <c r="AA28" s="2">
        <f t="shared" si="20"/>
        <v>0.94702472853137121</v>
      </c>
      <c r="AB28" s="1">
        <v>2.1104677600520643</v>
      </c>
    </row>
    <row r="29" spans="1:28" ht="16.5" x14ac:dyDescent="0.3">
      <c r="A29" s="1"/>
      <c r="B29" s="1"/>
      <c r="C29" s="1"/>
      <c r="D29" s="1"/>
      <c r="E29" s="1"/>
      <c r="F29" s="1"/>
      <c r="G29" s="1"/>
      <c r="H29" s="1"/>
      <c r="I29" s="1"/>
      <c r="J29" s="1"/>
      <c r="K29" s="1"/>
      <c r="L29" s="1"/>
      <c r="M29" s="1"/>
      <c r="N29" s="1"/>
      <c r="O29" s="1"/>
      <c r="P29" s="1"/>
      <c r="Q29" s="1"/>
      <c r="R29" s="1"/>
      <c r="W29" s="1">
        <v>190</v>
      </c>
      <c r="X29" s="1">
        <v>0.28500000000000003</v>
      </c>
      <c r="Y29" s="1">
        <v>2.0959761358733928</v>
      </c>
      <c r="Z29" s="2">
        <f t="shared" si="19"/>
        <v>0.75213635126797374</v>
      </c>
      <c r="AA29" s="2">
        <f t="shared" si="20"/>
        <v>0.96202472853137122</v>
      </c>
      <c r="AB29" s="1">
        <v>2.1115170135494608</v>
      </c>
    </row>
    <row r="30" spans="1:28" ht="16.5" x14ac:dyDescent="0.3">
      <c r="A30" s="1"/>
      <c r="B30" s="1"/>
      <c r="C30" s="1"/>
      <c r="D30" s="1"/>
      <c r="E30" s="1"/>
      <c r="F30" s="1"/>
      <c r="G30" s="1"/>
      <c r="H30" s="1"/>
      <c r="I30" s="1"/>
      <c r="J30" s="1"/>
      <c r="K30" s="1"/>
      <c r="L30" s="1"/>
      <c r="M30" s="1"/>
      <c r="N30" s="1"/>
      <c r="O30" s="1"/>
      <c r="P30" s="1"/>
      <c r="Q30" s="1"/>
      <c r="R30" s="1"/>
      <c r="W30" s="1">
        <v>200</v>
      </c>
      <c r="X30" s="1">
        <v>0.3</v>
      </c>
      <c r="Y30" s="1">
        <v>2.0968002105396644</v>
      </c>
      <c r="Z30" s="2">
        <f t="shared" si="19"/>
        <v>0.76713635126797375</v>
      </c>
      <c r="AA30" s="2">
        <f t="shared" si="20"/>
        <v>0.97702472853137112</v>
      </c>
      <c r="AB30" s="1">
        <v>2.1125872762759483</v>
      </c>
    </row>
    <row r="31" spans="1:28" ht="16.5" x14ac:dyDescent="0.3">
      <c r="A31" s="1"/>
      <c r="B31" s="1"/>
      <c r="C31" s="1"/>
      <c r="D31" s="1"/>
      <c r="E31" s="1"/>
      <c r="F31" s="1"/>
      <c r="G31" s="1"/>
      <c r="H31" s="1"/>
      <c r="I31" s="1"/>
      <c r="J31" s="1"/>
      <c r="K31" s="1"/>
      <c r="L31" s="1"/>
      <c r="M31" s="1"/>
      <c r="N31" s="1"/>
      <c r="O31" s="1"/>
      <c r="P31" s="1"/>
      <c r="Q31" s="1"/>
      <c r="R31" s="1"/>
      <c r="W31" s="1"/>
      <c r="X31" s="1"/>
      <c r="Y31" s="1"/>
      <c r="Z31" s="2"/>
      <c r="AA31" s="2"/>
      <c r="AB31" s="1"/>
    </row>
    <row r="32" spans="1:28" ht="16.5" x14ac:dyDescent="0.3">
      <c r="A32" s="1" t="s">
        <v>15</v>
      </c>
      <c r="B32" s="1">
        <f>B6</f>
        <v>0.36</v>
      </c>
      <c r="C32" s="1" t="s">
        <v>2</v>
      </c>
      <c r="D32" s="1"/>
      <c r="E32" s="1"/>
      <c r="F32" s="1"/>
      <c r="G32" s="1"/>
      <c r="H32" s="1"/>
      <c r="I32" s="1"/>
      <c r="J32" s="1"/>
      <c r="K32" s="1"/>
      <c r="L32" s="1"/>
      <c r="M32" s="1"/>
      <c r="N32" s="1"/>
      <c r="O32" s="1"/>
      <c r="P32" s="1"/>
      <c r="Q32" s="1"/>
      <c r="R32" s="1"/>
      <c r="W32" s="1"/>
      <c r="X32" s="2"/>
      <c r="Y32" s="2"/>
      <c r="Z32" s="2"/>
      <c r="AA32" s="2"/>
      <c r="AB32" s="2"/>
    </row>
    <row r="33" spans="1:28" ht="16.5" x14ac:dyDescent="0.3">
      <c r="A33" s="1"/>
      <c r="B33" s="1"/>
      <c r="C33" s="1"/>
      <c r="D33" s="1"/>
      <c r="E33" s="1"/>
      <c r="F33" s="1"/>
      <c r="G33" s="1"/>
      <c r="H33" s="1"/>
      <c r="I33" s="1"/>
      <c r="J33" s="1"/>
      <c r="K33" s="1"/>
      <c r="L33" s="1"/>
      <c r="M33" s="1"/>
      <c r="N33" s="1"/>
      <c r="O33" s="1"/>
      <c r="P33" s="1"/>
      <c r="Q33" s="1"/>
      <c r="R33" s="1"/>
      <c r="W33" s="1"/>
      <c r="X33" s="2"/>
      <c r="Y33" s="2"/>
      <c r="Z33" s="2"/>
      <c r="AA33" s="2"/>
      <c r="AB33" s="2"/>
    </row>
    <row r="34" spans="1:28" ht="18.75" x14ac:dyDescent="0.35">
      <c r="A34" s="1" t="s">
        <v>20</v>
      </c>
      <c r="B34" s="1" t="s">
        <v>21</v>
      </c>
      <c r="C34" s="1" t="s">
        <v>22</v>
      </c>
      <c r="D34" s="1" t="s">
        <v>23</v>
      </c>
      <c r="E34" s="1" t="s">
        <v>24</v>
      </c>
      <c r="F34" s="1" t="s">
        <v>25</v>
      </c>
      <c r="G34" s="1" t="s">
        <v>26</v>
      </c>
      <c r="H34" s="1" t="s">
        <v>27</v>
      </c>
      <c r="I34" s="1" t="s">
        <v>28</v>
      </c>
      <c r="J34" s="1" t="s">
        <v>29</v>
      </c>
      <c r="K34" s="1" t="s">
        <v>30</v>
      </c>
      <c r="L34" s="1" t="s">
        <v>31</v>
      </c>
      <c r="M34" s="1" t="s">
        <v>32</v>
      </c>
      <c r="N34" s="1" t="s">
        <v>33</v>
      </c>
      <c r="O34" s="1" t="s">
        <v>34</v>
      </c>
      <c r="P34" s="1" t="s">
        <v>35</v>
      </c>
      <c r="Q34" s="1" t="s">
        <v>36</v>
      </c>
      <c r="R34" s="1" t="s">
        <v>37</v>
      </c>
      <c r="W34" s="1"/>
      <c r="X34" s="2"/>
      <c r="Y34" s="2"/>
      <c r="Z34" s="2"/>
      <c r="AA34" s="2"/>
      <c r="AB34" s="2"/>
    </row>
    <row r="35" spans="1:28" ht="18" x14ac:dyDescent="0.3">
      <c r="A35" s="1" t="s">
        <v>0</v>
      </c>
      <c r="B35" s="1" t="s">
        <v>0</v>
      </c>
      <c r="C35" s="1" t="s">
        <v>0</v>
      </c>
      <c r="D35" s="1" t="s">
        <v>44</v>
      </c>
      <c r="E35" s="1" t="s">
        <v>0</v>
      </c>
      <c r="F35" s="1" t="s">
        <v>43</v>
      </c>
      <c r="G35" s="1" t="s">
        <v>0</v>
      </c>
      <c r="H35" s="1" t="s">
        <v>0</v>
      </c>
      <c r="I35" s="1" t="s">
        <v>42</v>
      </c>
      <c r="J35" s="1" t="s">
        <v>0</v>
      </c>
      <c r="K35" s="1"/>
      <c r="L35" s="1" t="s">
        <v>0</v>
      </c>
      <c r="M35" s="1" t="s">
        <v>0</v>
      </c>
      <c r="N35" s="1"/>
      <c r="O35" s="1" t="s">
        <v>41</v>
      </c>
      <c r="P35" s="1" t="s">
        <v>0</v>
      </c>
      <c r="Q35" s="1" t="s">
        <v>0</v>
      </c>
      <c r="R35" s="1" t="s">
        <v>0</v>
      </c>
      <c r="W35" s="1"/>
      <c r="X35" s="2"/>
      <c r="Y35" s="2"/>
      <c r="Z35" s="2"/>
      <c r="AA35" s="2"/>
      <c r="AB35" s="2"/>
    </row>
    <row r="36" spans="1:28" ht="16.5" x14ac:dyDescent="0.3">
      <c r="A36" s="1">
        <v>150</v>
      </c>
      <c r="B36" s="2">
        <v>0.22500000000000001</v>
      </c>
      <c r="C36" s="1">
        <f>$B$7*$B$32</f>
        <v>0.216</v>
      </c>
      <c r="D36" s="2">
        <f>IF(A36&gt;=100, $B$2*C36, $K$2*C36)</f>
        <v>0.51839999999999997</v>
      </c>
      <c r="E36" s="2">
        <f>IF(A36&gt;=100, $B$2+2*C36, $K$2+2*C36)</f>
        <v>2.8319999999999999</v>
      </c>
      <c r="F36" s="2">
        <f>$B$5/D36</f>
        <v>4.6296296296296298</v>
      </c>
      <c r="G36" s="2">
        <f>(F36)^2/(2*$F$7)</f>
        <v>1.0924296894772978</v>
      </c>
      <c r="H36" s="2">
        <f>D36/E36</f>
        <v>0.18305084745762712</v>
      </c>
      <c r="I36" s="1">
        <f>($F$8/$B$4)*D36*H36^(2/3)</f>
        <v>11.141788146022799</v>
      </c>
      <c r="J36" s="2">
        <f>B36+C36+G36</f>
        <v>1.5334296894772979</v>
      </c>
      <c r="K36" s="1"/>
      <c r="L36" s="1"/>
      <c r="M36" s="1"/>
      <c r="N36" s="2">
        <f>($B$5^2/($F$7*(D36^3/$B$2)))</f>
        <v>10.115089717382387</v>
      </c>
      <c r="O36" s="2">
        <f>IF(A36&gt;=100,$B$2*(C36^2)/2+($B$5^2)/($F$7*D36),$K$2*(C36^2)/2+($B$5^2)/($F$7*D36))</f>
        <v>1.188618302050062</v>
      </c>
      <c r="P36" s="2">
        <f>C36+B36</f>
        <v>0.441</v>
      </c>
      <c r="Q36" s="2">
        <f>$F$4+B36</f>
        <v>2.6255679282845099</v>
      </c>
      <c r="R36" s="2">
        <f>$F$5+B36</f>
        <v>0.22500000000000001</v>
      </c>
      <c r="W36" s="1"/>
      <c r="X36" s="2"/>
      <c r="Y36" s="2"/>
      <c r="Z36" s="2"/>
      <c r="AA36" s="2"/>
      <c r="AB36" s="2"/>
    </row>
    <row r="37" spans="1:28" ht="16.5" x14ac:dyDescent="0.3">
      <c r="A37" s="1"/>
      <c r="B37" s="1"/>
      <c r="C37" s="1"/>
      <c r="D37" s="1"/>
      <c r="E37" s="1"/>
      <c r="F37" s="1"/>
      <c r="G37" s="1"/>
      <c r="H37" s="1"/>
      <c r="I37" s="1"/>
      <c r="J37" s="1"/>
      <c r="K37" s="1"/>
      <c r="L37" s="1"/>
      <c r="M37" s="1"/>
      <c r="N37" s="1"/>
      <c r="O37" s="1"/>
      <c r="P37" s="1"/>
      <c r="Q37" s="1"/>
      <c r="R37" s="1"/>
      <c r="W37" s="1"/>
      <c r="X37" s="2"/>
      <c r="Y37" s="2"/>
      <c r="Z37" s="2"/>
      <c r="AA37" s="2"/>
      <c r="AB37" s="2"/>
    </row>
    <row r="38" spans="1:28" ht="16.5" x14ac:dyDescent="0.3">
      <c r="A38" s="1"/>
      <c r="B38" s="1"/>
      <c r="C38" s="1"/>
      <c r="D38" s="1"/>
      <c r="E38" s="1"/>
      <c r="F38" s="1"/>
      <c r="G38" s="1"/>
      <c r="H38" s="1"/>
      <c r="I38" s="1"/>
      <c r="J38" s="1"/>
      <c r="K38" s="1"/>
      <c r="L38" s="1"/>
      <c r="M38" s="1"/>
      <c r="N38" s="1"/>
      <c r="O38" s="1"/>
      <c r="P38" s="1"/>
      <c r="Q38" s="1"/>
      <c r="R38" s="1"/>
      <c r="W38" s="1"/>
      <c r="X38" s="2"/>
      <c r="Y38" s="2"/>
      <c r="Z38" s="2"/>
      <c r="AA38" s="2"/>
      <c r="AB38" s="2"/>
    </row>
    <row r="39" spans="1:28" ht="16.5" x14ac:dyDescent="0.3">
      <c r="W39" s="1"/>
      <c r="X39" s="2"/>
      <c r="Y39" s="2"/>
      <c r="Z39" s="2"/>
      <c r="AA39" s="2"/>
      <c r="AB39" s="2"/>
    </row>
    <row r="40" spans="1:28" ht="16.5" x14ac:dyDescent="0.3">
      <c r="W40" s="1"/>
      <c r="X40" s="1"/>
      <c r="Y40" s="1"/>
      <c r="Z40" s="1"/>
      <c r="AA40" s="1"/>
      <c r="AB40" s="1"/>
    </row>
    <row r="41" spans="1:28" ht="16.5" x14ac:dyDescent="0.3">
      <c r="W41" s="1"/>
      <c r="X41" s="2"/>
      <c r="Y41" s="2"/>
      <c r="Z41" s="2"/>
      <c r="AA41" s="2"/>
      <c r="AB41" s="2"/>
    </row>
    <row r="42" spans="1:28" ht="16.5" x14ac:dyDescent="0.3">
      <c r="W42" s="1"/>
      <c r="X42" s="2"/>
      <c r="Y42" s="2"/>
      <c r="Z42" s="2"/>
      <c r="AA42" s="2"/>
      <c r="AB42" s="2"/>
    </row>
    <row r="43" spans="1:28" ht="16.5" x14ac:dyDescent="0.3">
      <c r="W43" s="1"/>
      <c r="X43" s="2"/>
      <c r="Y43" s="2"/>
      <c r="Z43" s="2"/>
      <c r="AA43" s="2"/>
      <c r="AB43" s="2"/>
    </row>
    <row r="44" spans="1:28" ht="16.5" x14ac:dyDescent="0.3">
      <c r="W44" s="1"/>
      <c r="X44" s="2"/>
      <c r="Y44" s="2"/>
      <c r="Z44" s="2"/>
      <c r="AA44" s="2"/>
      <c r="AB44" s="2"/>
    </row>
    <row r="45" spans="1:28" ht="16.5" x14ac:dyDescent="0.3">
      <c r="W45" s="1"/>
      <c r="X45" s="2"/>
      <c r="Y45" s="2"/>
      <c r="Z45" s="2"/>
      <c r="AA45" s="2"/>
      <c r="AB45" s="2"/>
    </row>
    <row r="46" spans="1:28" ht="16.5" x14ac:dyDescent="0.3">
      <c r="A46" s="1"/>
      <c r="B46" s="2"/>
      <c r="C46" s="1"/>
      <c r="D46" s="2"/>
      <c r="E46" s="2"/>
      <c r="F46" s="2"/>
      <c r="G46" s="2"/>
      <c r="H46" s="2"/>
      <c r="I46" s="1"/>
      <c r="J46" s="2"/>
      <c r="K46" s="1"/>
      <c r="L46" s="1"/>
      <c r="M46" s="10"/>
      <c r="N46" s="2"/>
      <c r="O46" s="2"/>
      <c r="P46" s="2"/>
      <c r="Q46" s="2"/>
      <c r="R46" s="2"/>
      <c r="W46" s="1"/>
      <c r="X46" s="2"/>
      <c r="Y46" s="2"/>
      <c r="Z46" s="2"/>
      <c r="AA46" s="2"/>
      <c r="AB46" s="2"/>
    </row>
    <row r="47" spans="1:28" ht="16.5" x14ac:dyDescent="0.3">
      <c r="A47" s="1"/>
      <c r="B47" s="2"/>
      <c r="C47" s="1"/>
      <c r="D47" s="2"/>
      <c r="E47" s="2"/>
      <c r="F47" s="2"/>
      <c r="G47" s="2"/>
      <c r="H47" s="2"/>
      <c r="I47" s="1"/>
      <c r="K47" s="1"/>
      <c r="L47" s="1"/>
      <c r="M47" s="10"/>
      <c r="N47" s="2"/>
      <c r="O47" s="2"/>
      <c r="P47" s="2"/>
      <c r="Q47" s="2"/>
      <c r="R47" s="2"/>
      <c r="W47" s="1"/>
      <c r="X47" s="2"/>
      <c r="Y47" s="2"/>
      <c r="Z47" s="2"/>
      <c r="AA47" s="2"/>
      <c r="AB47" s="2"/>
    </row>
    <row r="48" spans="1:28" ht="16.5" x14ac:dyDescent="0.3">
      <c r="A48" s="1"/>
      <c r="B48" s="2"/>
      <c r="C48" s="1"/>
      <c r="D48" s="2"/>
      <c r="E48" s="2"/>
      <c r="F48" s="2"/>
      <c r="G48" s="2"/>
      <c r="H48" s="2"/>
      <c r="I48" s="1"/>
      <c r="K48" s="1"/>
      <c r="L48" s="1"/>
      <c r="M48" s="10"/>
      <c r="N48" s="2"/>
      <c r="O48" s="2"/>
      <c r="P48" s="2"/>
      <c r="Q48" s="2"/>
      <c r="R48" s="2"/>
      <c r="S48" s="1"/>
      <c r="T48" s="2"/>
      <c r="U48" s="2"/>
      <c r="V48" s="2"/>
      <c r="W48" s="2"/>
      <c r="X48" s="2"/>
    </row>
    <row r="49" spans="1:24" ht="16.5" x14ac:dyDescent="0.3">
      <c r="A49" s="1"/>
      <c r="B49" s="2"/>
      <c r="C49" s="1"/>
      <c r="D49" s="2"/>
      <c r="E49" s="2"/>
      <c r="F49" s="2"/>
      <c r="G49" s="2"/>
      <c r="H49" s="2"/>
      <c r="I49" s="1"/>
      <c r="K49" s="1"/>
      <c r="L49" s="1"/>
      <c r="M49" s="10"/>
      <c r="N49" s="2"/>
      <c r="O49" s="2"/>
      <c r="P49" s="2"/>
      <c r="Q49" s="2"/>
      <c r="R49" s="2"/>
      <c r="S49" s="1"/>
      <c r="T49" s="2"/>
      <c r="U49" s="2"/>
      <c r="V49" s="2"/>
      <c r="W49" s="2"/>
      <c r="X49" s="2"/>
    </row>
    <row r="50" spans="1:24" ht="16.5" x14ac:dyDescent="0.3">
      <c r="A50" s="1"/>
      <c r="B50" s="2"/>
      <c r="C50" s="1"/>
      <c r="D50" s="2"/>
      <c r="E50" s="2"/>
      <c r="F50" s="2"/>
      <c r="G50" s="2"/>
      <c r="H50" s="2"/>
      <c r="I50" s="1"/>
      <c r="K50" s="1"/>
      <c r="L50" s="1"/>
      <c r="M50" s="10"/>
      <c r="N50" s="2"/>
      <c r="O50" s="2"/>
      <c r="P50" s="2"/>
      <c r="Q50" s="2"/>
      <c r="R50" s="2"/>
      <c r="S50" s="1"/>
      <c r="T50" s="1"/>
      <c r="U50" s="1"/>
      <c r="V50" s="1"/>
      <c r="W50" s="1"/>
      <c r="X50" s="1"/>
    </row>
    <row r="51" spans="1:24" ht="16.5" x14ac:dyDescent="0.3">
      <c r="A51" s="1"/>
      <c r="B51" s="2"/>
      <c r="C51" s="1"/>
      <c r="D51" s="2"/>
      <c r="E51" s="2"/>
      <c r="F51" s="2"/>
      <c r="G51" s="2"/>
      <c r="H51" s="2"/>
      <c r="I51" s="1"/>
      <c r="J51" s="2"/>
      <c r="K51" s="1"/>
      <c r="L51" s="1"/>
      <c r="M51" s="10"/>
      <c r="N51" s="2"/>
      <c r="O51" s="2"/>
      <c r="P51" s="2"/>
      <c r="Q51" s="2"/>
      <c r="R51" s="2"/>
      <c r="S51" s="1"/>
      <c r="T51" s="1"/>
      <c r="U51" s="1"/>
      <c r="V51" s="1"/>
      <c r="W51" s="1"/>
      <c r="X51" s="1"/>
    </row>
    <row r="52" spans="1:24" ht="16.5" x14ac:dyDescent="0.3">
      <c r="A52" s="1"/>
      <c r="B52" s="2"/>
      <c r="C52" s="1"/>
      <c r="D52" s="2"/>
      <c r="E52" s="2"/>
      <c r="F52" s="2"/>
      <c r="G52" s="2"/>
      <c r="H52" s="2"/>
      <c r="I52" s="1"/>
      <c r="J52" s="2"/>
      <c r="K52" s="1"/>
      <c r="L52" s="1"/>
      <c r="M52" s="10"/>
      <c r="N52" s="2"/>
      <c r="O52" s="2"/>
      <c r="S52" s="1"/>
      <c r="T52" s="1"/>
      <c r="U52" s="1"/>
      <c r="V52" s="1"/>
      <c r="W52" s="1"/>
      <c r="X52" s="1"/>
    </row>
    <row r="53" spans="1:24" ht="16.5" x14ac:dyDescent="0.3">
      <c r="A53" s="1"/>
      <c r="B53" s="2"/>
      <c r="C53" s="1"/>
      <c r="D53" s="2"/>
      <c r="E53" s="2"/>
      <c r="F53" s="2"/>
      <c r="G53" s="2"/>
      <c r="H53" s="2"/>
      <c r="I53" s="1"/>
      <c r="J53" s="2"/>
      <c r="K53" s="1"/>
      <c r="L53" s="1"/>
      <c r="M53" s="10"/>
      <c r="N53" s="2"/>
      <c r="O53" s="2"/>
      <c r="S53" s="1"/>
      <c r="T53" s="1"/>
      <c r="U53" s="1"/>
      <c r="V53" s="1"/>
      <c r="W53" s="1"/>
      <c r="X53" s="1"/>
    </row>
    <row r="54" spans="1:24" ht="16.5" x14ac:dyDescent="0.3">
      <c r="A54" s="1"/>
      <c r="B54" s="2"/>
      <c r="C54" s="1"/>
      <c r="D54" s="2"/>
      <c r="E54" s="2"/>
      <c r="F54" s="2"/>
      <c r="G54" s="2"/>
      <c r="H54" s="2"/>
      <c r="I54" s="1"/>
      <c r="J54" s="2"/>
      <c r="K54" s="1"/>
      <c r="L54" s="1"/>
      <c r="M54" s="10"/>
      <c r="N54" s="2"/>
      <c r="O54" s="2"/>
      <c r="S54" s="1"/>
      <c r="T54" s="1"/>
      <c r="U54" s="1"/>
      <c r="V54" s="1"/>
      <c r="W54" s="1"/>
      <c r="X54" s="1"/>
    </row>
    <row r="55" spans="1:24" ht="16.5" x14ac:dyDescent="0.3">
      <c r="A55" s="1"/>
      <c r="B55" s="2"/>
      <c r="C55" s="1"/>
      <c r="D55" s="2"/>
      <c r="E55" s="2"/>
      <c r="F55" s="2"/>
      <c r="G55" s="2"/>
      <c r="H55" s="2"/>
      <c r="I55" s="1"/>
      <c r="J55" s="2"/>
      <c r="K55" s="1"/>
      <c r="L55" s="1"/>
      <c r="M55" s="10"/>
      <c r="N55" s="2"/>
      <c r="O55" s="2"/>
      <c r="S55" s="1"/>
      <c r="T55" s="1"/>
      <c r="U55" s="1"/>
      <c r="V55" s="1"/>
      <c r="W55" s="1"/>
      <c r="X55" s="1"/>
    </row>
    <row r="56" spans="1:24" ht="16.5" x14ac:dyDescent="0.3">
      <c r="A56" s="1"/>
      <c r="B56" s="2"/>
      <c r="C56" s="1"/>
      <c r="D56" s="2"/>
      <c r="E56" s="2"/>
      <c r="F56" s="2"/>
      <c r="G56" s="2"/>
      <c r="H56" s="2"/>
      <c r="I56" s="1"/>
      <c r="J56" s="2"/>
      <c r="K56" s="1"/>
      <c r="L56" s="1"/>
      <c r="M56" s="10"/>
      <c r="N56" s="2"/>
      <c r="O56" s="2"/>
      <c r="S56" s="1"/>
      <c r="T56" s="1"/>
      <c r="U56" s="1"/>
      <c r="V56" s="1"/>
      <c r="W56" s="1"/>
      <c r="X56" s="1"/>
    </row>
    <row r="57" spans="1:24" ht="16.5" x14ac:dyDescent="0.3">
      <c r="A57" s="1"/>
      <c r="B57" s="2"/>
      <c r="C57" s="1"/>
      <c r="D57" s="2"/>
      <c r="E57" s="2"/>
      <c r="F57" s="2"/>
      <c r="G57" s="2"/>
      <c r="H57" s="2"/>
      <c r="I57" s="1"/>
      <c r="J57" s="2"/>
      <c r="K57" s="1"/>
      <c r="L57" s="1"/>
      <c r="M57" s="10"/>
      <c r="N57" s="2"/>
      <c r="O57" s="2"/>
      <c r="S57" s="1"/>
      <c r="T57" s="1"/>
      <c r="U57" s="1"/>
      <c r="V57" s="1"/>
      <c r="W57" s="1"/>
      <c r="X57" s="1"/>
    </row>
    <row r="58" spans="1:24" ht="16.5" x14ac:dyDescent="0.3">
      <c r="A58" s="1"/>
      <c r="B58" s="2"/>
      <c r="C58" s="1"/>
      <c r="D58" s="2"/>
      <c r="E58" s="2"/>
      <c r="F58" s="2"/>
      <c r="G58" s="2"/>
      <c r="H58" s="2"/>
      <c r="I58" s="1"/>
      <c r="J58" s="2"/>
      <c r="K58" s="1"/>
      <c r="L58" s="1"/>
      <c r="M58" s="10"/>
      <c r="N58" s="2"/>
      <c r="O58" s="2"/>
      <c r="S58" s="1"/>
      <c r="T58" s="1"/>
      <c r="U58" s="1"/>
      <c r="V58" s="1"/>
      <c r="W58" s="1"/>
      <c r="X58" s="1"/>
    </row>
    <row r="59" spans="1:24" ht="16.5" x14ac:dyDescent="0.3">
      <c r="S59" s="1"/>
      <c r="T59" s="1"/>
      <c r="U59" s="1"/>
      <c r="V59" s="1"/>
      <c r="W59" s="1"/>
      <c r="X59" s="1"/>
    </row>
    <row r="60" spans="1:24" ht="16.5" x14ac:dyDescent="0.3">
      <c r="S60" s="1"/>
      <c r="T60" s="1"/>
      <c r="U60" s="1"/>
      <c r="V60" s="1"/>
      <c r="W60" s="1"/>
      <c r="X60" s="1"/>
    </row>
    <row r="61" spans="1:24" ht="16.5" x14ac:dyDescent="0.3">
      <c r="S61" s="1"/>
      <c r="T61" s="1"/>
      <c r="U61" s="1"/>
      <c r="V61" s="1"/>
      <c r="W61" s="1"/>
      <c r="X61" s="1"/>
    </row>
    <row r="62" spans="1:24" ht="16.5" x14ac:dyDescent="0.3">
      <c r="A62" s="1"/>
      <c r="B62" s="1"/>
      <c r="C62" s="1"/>
      <c r="D62" s="1"/>
      <c r="E62" s="1"/>
      <c r="F62" s="1"/>
      <c r="G62" s="1"/>
      <c r="H62" s="1"/>
      <c r="I62" s="1"/>
      <c r="J62" s="1"/>
      <c r="K62" s="1"/>
      <c r="L62" s="1"/>
      <c r="M62" s="1"/>
      <c r="N62" s="1"/>
      <c r="O62" s="1"/>
      <c r="P62" s="1"/>
      <c r="Q62" s="1"/>
      <c r="R62" s="1"/>
      <c r="S62" s="1"/>
      <c r="T62" s="1"/>
      <c r="U62" s="1"/>
      <c r="V62" s="1"/>
      <c r="W62" s="1"/>
      <c r="X62" s="1"/>
    </row>
    <row r="63" spans="1:24" ht="16.5" x14ac:dyDescent="0.3">
      <c r="A63" s="1"/>
      <c r="B63" s="1"/>
      <c r="C63" s="1"/>
      <c r="D63" s="1"/>
      <c r="E63" s="1"/>
      <c r="F63" s="1"/>
      <c r="G63" s="1"/>
      <c r="H63" s="1"/>
      <c r="I63" s="1"/>
      <c r="J63" s="1"/>
      <c r="K63" s="1"/>
      <c r="L63" s="1"/>
      <c r="M63" s="1"/>
      <c r="N63" s="1"/>
      <c r="O63" s="1"/>
      <c r="P63" s="1"/>
      <c r="Q63" s="1"/>
      <c r="R63" s="1"/>
      <c r="S63" s="1"/>
      <c r="T63" s="1"/>
      <c r="U63" s="1"/>
      <c r="V63" s="1"/>
      <c r="W63" s="1"/>
      <c r="X63" s="1"/>
    </row>
    <row r="64" spans="1:24" ht="16.5" x14ac:dyDescent="0.3">
      <c r="A64" s="1"/>
      <c r="B64" s="1"/>
      <c r="C64" s="1"/>
      <c r="D64" s="1"/>
      <c r="E64" s="1"/>
      <c r="F64" s="1"/>
      <c r="G64" s="1"/>
      <c r="H64" s="1"/>
      <c r="I64" s="1"/>
      <c r="J64" s="1"/>
      <c r="K64" s="1"/>
      <c r="L64" s="1"/>
      <c r="M64" s="1"/>
      <c r="N64" s="1"/>
      <c r="O64" s="1"/>
      <c r="P64" s="1"/>
      <c r="Q64" s="1"/>
      <c r="R64" s="1"/>
      <c r="S64" s="1"/>
      <c r="T64" s="1"/>
      <c r="U64" s="1"/>
      <c r="V64" s="1"/>
      <c r="W64" s="1"/>
      <c r="X64" s="1"/>
    </row>
    <row r="65" spans="1:24" ht="16.5" x14ac:dyDescent="0.3">
      <c r="A65" s="1"/>
      <c r="B65" s="1"/>
      <c r="C65" s="1"/>
      <c r="D65" s="1"/>
      <c r="E65" s="1"/>
      <c r="F65" s="1"/>
      <c r="G65" s="1"/>
      <c r="H65" s="1"/>
      <c r="I65" s="1"/>
      <c r="J65" s="1"/>
      <c r="K65" s="1"/>
      <c r="L65" s="1"/>
      <c r="M65" s="1"/>
      <c r="N65" s="1"/>
      <c r="O65" s="1"/>
      <c r="P65" s="1"/>
      <c r="Q65" s="1"/>
      <c r="R65" s="1"/>
      <c r="S65" s="1"/>
      <c r="T65" s="1"/>
      <c r="U65" s="1"/>
      <c r="V65" s="1"/>
      <c r="W65" s="1"/>
      <c r="X65" s="1"/>
    </row>
    <row r="66" spans="1:24" ht="16.5" x14ac:dyDescent="0.3">
      <c r="A66" s="1"/>
      <c r="B66" s="1"/>
      <c r="C66" s="1"/>
      <c r="D66" s="1"/>
      <c r="E66" s="1"/>
      <c r="F66" s="1"/>
      <c r="G66" s="1"/>
      <c r="H66" s="1"/>
      <c r="I66" s="1"/>
      <c r="J66" s="1"/>
      <c r="K66" s="1"/>
      <c r="L66" s="1"/>
      <c r="M66" s="1"/>
      <c r="N66" s="1"/>
      <c r="O66" s="1"/>
      <c r="P66" s="1"/>
      <c r="Q66" s="1"/>
      <c r="R66" s="1"/>
      <c r="S66" s="1"/>
      <c r="T66" s="1"/>
      <c r="U66" s="1"/>
      <c r="V66" s="1"/>
      <c r="W66" s="1"/>
      <c r="X66" s="1"/>
    </row>
    <row r="67" spans="1:24" ht="16.5" x14ac:dyDescent="0.3">
      <c r="A67" s="1"/>
      <c r="B67" s="1"/>
      <c r="C67" s="1"/>
      <c r="D67" s="1"/>
      <c r="E67" s="1"/>
      <c r="F67" s="1"/>
      <c r="G67" s="1"/>
      <c r="H67" s="1"/>
      <c r="I67" s="1"/>
      <c r="J67" s="1"/>
      <c r="K67" s="1"/>
      <c r="L67" s="1"/>
      <c r="M67" s="1"/>
      <c r="N67" s="1"/>
      <c r="O67" s="1"/>
      <c r="P67" s="1"/>
      <c r="Q67" s="1"/>
      <c r="R67" s="1"/>
      <c r="S67" s="1"/>
      <c r="T67" s="1"/>
      <c r="U67" s="1"/>
      <c r="V67" s="1"/>
      <c r="W67" s="1"/>
      <c r="X67" s="1"/>
    </row>
    <row r="68" spans="1:24" ht="16.5" x14ac:dyDescent="0.3">
      <c r="A68" s="1"/>
      <c r="B68" s="2"/>
      <c r="C68" s="1"/>
      <c r="D68" s="1"/>
      <c r="E68" s="1"/>
      <c r="F68" s="2"/>
      <c r="G68" s="1"/>
      <c r="H68" s="1"/>
      <c r="I68" s="1"/>
      <c r="J68" s="1"/>
      <c r="K68" s="1"/>
      <c r="L68" s="1"/>
      <c r="M68" s="1"/>
      <c r="N68" s="1"/>
      <c r="O68" s="1"/>
      <c r="P68" s="1"/>
      <c r="Q68" s="1"/>
      <c r="R68" s="1"/>
      <c r="S68" s="1"/>
      <c r="T68" s="1"/>
      <c r="U68" s="1"/>
      <c r="V68" s="1"/>
      <c r="W68" s="1"/>
      <c r="X68" s="1"/>
    </row>
    <row r="69" spans="1:24" ht="16.5" x14ac:dyDescent="0.3">
      <c r="A69" s="1"/>
      <c r="B69" s="1"/>
      <c r="C69" s="1"/>
      <c r="D69" s="1"/>
      <c r="E69" s="1"/>
      <c r="F69" s="1"/>
      <c r="G69" s="1"/>
      <c r="H69" s="1"/>
      <c r="I69" s="1"/>
      <c r="J69" s="1"/>
      <c r="K69" s="1"/>
      <c r="L69" s="1"/>
      <c r="M69" s="1"/>
      <c r="N69" s="1"/>
      <c r="O69" s="1"/>
      <c r="P69" s="1"/>
      <c r="Q69" s="1"/>
      <c r="R69" s="1"/>
    </row>
    <row r="70" spans="1:24" ht="18.75" x14ac:dyDescent="0.35">
      <c r="A70" s="1" t="s">
        <v>20</v>
      </c>
      <c r="B70" s="1" t="s">
        <v>21</v>
      </c>
      <c r="C70" s="1" t="s">
        <v>22</v>
      </c>
      <c r="D70" s="1" t="s">
        <v>23</v>
      </c>
      <c r="E70" s="1" t="s">
        <v>24</v>
      </c>
      <c r="F70" s="1" t="s">
        <v>25</v>
      </c>
      <c r="G70" s="1" t="s">
        <v>26</v>
      </c>
      <c r="H70" s="1" t="s">
        <v>27</v>
      </c>
      <c r="I70" s="1" t="s">
        <v>28</v>
      </c>
      <c r="J70" s="1" t="s">
        <v>29</v>
      </c>
      <c r="K70" s="1" t="s">
        <v>30</v>
      </c>
      <c r="L70" s="1" t="s">
        <v>31</v>
      </c>
      <c r="M70" s="1" t="s">
        <v>32</v>
      </c>
      <c r="N70" s="1" t="s">
        <v>33</v>
      </c>
      <c r="O70" s="1" t="s">
        <v>34</v>
      </c>
      <c r="P70" s="1" t="s">
        <v>120</v>
      </c>
      <c r="Q70" s="1" t="s">
        <v>35</v>
      </c>
      <c r="R70" s="1" t="s">
        <v>36</v>
      </c>
      <c r="S70" s="1" t="s">
        <v>37</v>
      </c>
    </row>
    <row r="71" spans="1:24" ht="18" x14ac:dyDescent="0.3">
      <c r="A71" s="1" t="s">
        <v>0</v>
      </c>
      <c r="B71" s="1" t="s">
        <v>0</v>
      </c>
      <c r="C71" s="1" t="s">
        <v>0</v>
      </c>
      <c r="D71" s="1" t="s">
        <v>44</v>
      </c>
      <c r="E71" s="1" t="s">
        <v>0</v>
      </c>
      <c r="F71" s="1" t="s">
        <v>43</v>
      </c>
      <c r="G71" s="1" t="s">
        <v>0</v>
      </c>
      <c r="H71" s="1" t="s">
        <v>0</v>
      </c>
      <c r="I71" s="1" t="s">
        <v>42</v>
      </c>
      <c r="J71" s="1" t="s">
        <v>0</v>
      </c>
      <c r="K71" s="1"/>
      <c r="L71" s="1" t="s">
        <v>0</v>
      </c>
      <c r="M71" s="1" t="s">
        <v>0</v>
      </c>
      <c r="N71" s="1"/>
      <c r="O71" s="1" t="s">
        <v>41</v>
      </c>
      <c r="P71" s="1" t="s">
        <v>0</v>
      </c>
      <c r="Q71" s="1" t="s">
        <v>0</v>
      </c>
      <c r="R71" s="1" t="s">
        <v>0</v>
      </c>
      <c r="S71" s="1" t="s">
        <v>0</v>
      </c>
    </row>
    <row r="72" spans="1:24" ht="16.5" x14ac:dyDescent="0.3">
      <c r="A72" s="1">
        <v>140</v>
      </c>
      <c r="B72" s="1">
        <v>0.21</v>
      </c>
      <c r="C72" s="1">
        <v>1.18126505891585</v>
      </c>
      <c r="D72" s="1">
        <f t="shared" ref="D72:D75" si="21">$B$2*C72</f>
        <v>2.8350361413980401</v>
      </c>
      <c r="E72" s="1">
        <f t="shared" ref="E72:E75" si="22">$B$2+2*C72</f>
        <v>4.7625301178316999</v>
      </c>
      <c r="F72" s="1">
        <f>$B$5/D72</f>
        <v>0.84655005449647958</v>
      </c>
      <c r="G72" s="1">
        <f t="shared" ref="G72:G74" si="23">(F72)^2/(2*$F$7)</f>
        <v>3.6526350395922148E-2</v>
      </c>
      <c r="H72" s="1">
        <f t="shared" ref="H72:H75" si="24">D72/E72</f>
        <v>0.59527941477644331</v>
      </c>
      <c r="I72" s="1">
        <f t="shared" ref="I72:I75" si="25">($F$8/$B$4)*D72*H72^(2/3)</f>
        <v>133.74613800099033</v>
      </c>
      <c r="J72" s="1">
        <f>B72+C72+G72</f>
        <v>1.4277914093117721</v>
      </c>
      <c r="K72" s="1"/>
      <c r="L72" s="1"/>
      <c r="M72" s="1"/>
      <c r="N72" s="1">
        <f t="shared" ref="N72:N75" si="26">($B$5^2/($F$7*(D72^3/$B$2)))</f>
        <v>6.1842767836450797E-2</v>
      </c>
      <c r="O72" s="1">
        <f>$B$2*C72^2/2+$B$5^2/($F$7*D72)</f>
        <v>1.8815716142701755</v>
      </c>
      <c r="Q72" s="1">
        <f>C72+B72</f>
        <v>1.39126505891585</v>
      </c>
      <c r="R72" s="1">
        <f t="shared" ref="R72:R79" si="27">$F$4+B72</f>
        <v>2.6105679282845098</v>
      </c>
      <c r="S72" s="1">
        <f t="shared" ref="S72:S79" si="28">$F$5+B72</f>
        <v>0.21</v>
      </c>
    </row>
    <row r="73" spans="1:24" ht="16.5" x14ac:dyDescent="0.3">
      <c r="A73" s="1">
        <v>150</v>
      </c>
      <c r="B73" s="1">
        <f t="shared" ref="B73" si="29">A73*$B$3</f>
        <v>0.22500000000000001</v>
      </c>
      <c r="C73" s="7">
        <v>0.79001081860741695</v>
      </c>
      <c r="D73" s="1">
        <f t="shared" si="21"/>
        <v>1.8960259646578006</v>
      </c>
      <c r="E73" s="1">
        <f t="shared" si="22"/>
        <v>3.9800216372148336</v>
      </c>
      <c r="F73" s="1">
        <f t="shared" ref="F73:F75" si="30">$B$5/D73</f>
        <v>1.2658054503136289</v>
      </c>
      <c r="G73" s="1">
        <f t="shared" si="23"/>
        <v>8.1664803162267527E-2</v>
      </c>
      <c r="H73" s="1">
        <f t="shared" si="24"/>
        <v>0.47638584346607082</v>
      </c>
      <c r="I73" s="1">
        <f t="shared" si="25"/>
        <v>77.100806246385602</v>
      </c>
      <c r="J73" s="1">
        <f>B73+C73+(B5^2)/(2*F7*(B2*B7*B6)^2)</f>
        <v>2.1074405080847147</v>
      </c>
      <c r="K73" s="1"/>
      <c r="L73" s="1"/>
      <c r="M73" s="1"/>
      <c r="N73" s="1">
        <f t="shared" si="26"/>
        <v>0.20674350588317583</v>
      </c>
      <c r="O73" s="1">
        <f>$B$2*C73^2/2+$B$5^2/($F$7*B2*B7*B6)</f>
        <v>1.8815716142701753</v>
      </c>
      <c r="P73" s="12">
        <f>O73-O72</f>
        <v>0</v>
      </c>
      <c r="Q73" s="1">
        <f t="shared" ref="Q73:Q79" si="31">C73+B73</f>
        <v>1.0150108186074169</v>
      </c>
      <c r="R73" s="1">
        <f t="shared" si="27"/>
        <v>2.6255679282845099</v>
      </c>
      <c r="S73" s="1">
        <f t="shared" si="28"/>
        <v>0.22500000000000001</v>
      </c>
    </row>
    <row r="74" spans="1:24" ht="16.5" x14ac:dyDescent="0.3">
      <c r="A74" s="1">
        <v>150</v>
      </c>
      <c r="B74" s="1">
        <f t="shared" ref="B74:B79" si="32">A74*$B$3</f>
        <v>0.22500000000000001</v>
      </c>
      <c r="C74" s="7">
        <v>1.8678312835301547</v>
      </c>
      <c r="D74" s="1">
        <f t="shared" si="21"/>
        <v>4.4827950804723713</v>
      </c>
      <c r="E74" s="1">
        <f t="shared" si="22"/>
        <v>6.1356625670603098</v>
      </c>
      <c r="F74" s="1">
        <f t="shared" si="30"/>
        <v>0.53538026095698799</v>
      </c>
      <c r="G74" s="1">
        <f t="shared" si="23"/>
        <v>1.460917552611481E-2</v>
      </c>
      <c r="H74" s="1">
        <f t="shared" si="24"/>
        <v>0.73061303998993332</v>
      </c>
      <c r="I74" s="1">
        <f t="shared" si="25"/>
        <v>242.42788564106931</v>
      </c>
      <c r="J74" s="1">
        <f>B74+C74+G74</f>
        <v>2.1074404590562694</v>
      </c>
      <c r="K74" s="1"/>
      <c r="L74" s="1"/>
      <c r="M74" s="8">
        <f t="shared" ref="M74:M75" si="33">J74-(J73+L74)</f>
        <v>-4.9028445303633816E-8</v>
      </c>
      <c r="N74" s="1">
        <f t="shared" si="26"/>
        <v>1.5642928411075573E-2</v>
      </c>
      <c r="O74" s="1">
        <f>$B$2*C74^2/2+$B$5^2/($F$7*D74)</f>
        <v>4.3175323248371358</v>
      </c>
      <c r="P74">
        <f t="shared" ref="P74:P79" si="34">O74-O73</f>
        <v>2.4359607105669605</v>
      </c>
      <c r="Q74" s="1">
        <f t="shared" si="31"/>
        <v>2.0928312835301548</v>
      </c>
      <c r="R74" s="1">
        <f t="shared" si="27"/>
        <v>2.6255679282845099</v>
      </c>
      <c r="S74" s="1">
        <f t="shared" si="28"/>
        <v>0.22500000000000001</v>
      </c>
    </row>
    <row r="75" spans="1:24" ht="16.5" x14ac:dyDescent="0.3">
      <c r="A75" s="1">
        <v>160</v>
      </c>
      <c r="B75" s="1">
        <f t="shared" si="32"/>
        <v>0.24</v>
      </c>
      <c r="C75" s="7">
        <v>1.8535955882457169</v>
      </c>
      <c r="D75" s="1">
        <f t="shared" si="21"/>
        <v>4.44862941178972</v>
      </c>
      <c r="E75" s="1">
        <f t="shared" si="22"/>
        <v>6.1071911764914333</v>
      </c>
      <c r="F75" s="1">
        <f t="shared" si="30"/>
        <v>0.53949200480479231</v>
      </c>
      <c r="G75" s="1">
        <f>(F75)^2/(2*$F$7)</f>
        <v>1.4834435435692865E-2</v>
      </c>
      <c r="H75" s="1">
        <f t="shared" si="24"/>
        <v>0.72842478370645125</v>
      </c>
      <c r="I75" s="1">
        <f t="shared" si="25"/>
        <v>240.09960498929382</v>
      </c>
      <c r="J75" s="1">
        <f>B75+C75+G75</f>
        <v>2.1084300236814095</v>
      </c>
      <c r="K75" s="1">
        <f t="shared" ref="K75" si="35">($B$5)^2/((I74+I75)/2)^2</f>
        <v>9.8955138867367641E-5</v>
      </c>
      <c r="L75" s="1">
        <f t="shared" ref="L75" si="36">K75*(A75-A74)</f>
        <v>9.8955138867367633E-4</v>
      </c>
      <c r="M75" s="8">
        <f t="shared" si="33"/>
        <v>1.3236466589461315E-8</v>
      </c>
      <c r="N75" s="1">
        <f t="shared" si="26"/>
        <v>1.6006118626698391E-2</v>
      </c>
      <c r="O75" s="1">
        <f t="shared" ref="O75:O79" si="37">$B$2*C75^2/2+$B$5^2/($F$7*D75)</f>
        <v>4.2549657372898197</v>
      </c>
      <c r="P75">
        <f t="shared" si="34"/>
        <v>-6.2566587547316033E-2</v>
      </c>
      <c r="Q75" s="1">
        <f t="shared" si="31"/>
        <v>2.0935955882457167</v>
      </c>
      <c r="R75" s="1">
        <f t="shared" si="27"/>
        <v>2.6405679282845096</v>
      </c>
      <c r="S75" s="1">
        <f t="shared" si="28"/>
        <v>0.24</v>
      </c>
    </row>
    <row r="76" spans="1:24" ht="16.5" x14ac:dyDescent="0.3">
      <c r="A76" s="1">
        <v>170</v>
      </c>
      <c r="B76" s="1">
        <f t="shared" si="32"/>
        <v>0.255</v>
      </c>
      <c r="C76" s="7">
        <v>1.8393742359665728</v>
      </c>
      <c r="D76" s="1">
        <f t="shared" ref="D76:D79" si="38">$B$2*C76</f>
        <v>4.4144981663197749</v>
      </c>
      <c r="E76" s="1">
        <f t="shared" ref="E76:E79" si="39">$B$2+2*C76</f>
        <v>6.0787484719331459</v>
      </c>
      <c r="F76" s="1">
        <f t="shared" ref="F76:F79" si="40">$B$5/D76</f>
        <v>0.54366315480901029</v>
      </c>
      <c r="G76" s="1">
        <f t="shared" ref="G76:G79" si="41">(F76)^2/(2*$F$7)</f>
        <v>1.5064710800045152E-2</v>
      </c>
      <c r="H76" s="1">
        <f t="shared" ref="H76:H79" si="42">D76/E76</f>
        <v>0.72621826461523076</v>
      </c>
      <c r="I76" s="1">
        <f t="shared" ref="I76:I79" si="43">($F$8/$B$4)*D76*H76^(2/3)</f>
        <v>237.77609659970861</v>
      </c>
      <c r="J76" s="1">
        <f t="shared" ref="J76:J79" si="44">B76+C76+G76</f>
        <v>2.1094389467666179</v>
      </c>
      <c r="K76" s="1">
        <f t="shared" ref="K76:K79" si="45">($B$5)^2/((I75+I76)/2)^2</f>
        <v>1.0089103504126552E-4</v>
      </c>
      <c r="L76" s="1">
        <f t="shared" ref="L76:L79" si="46">K76*(A76-A75)</f>
        <v>1.0089103504126553E-3</v>
      </c>
      <c r="M76" s="8">
        <f t="shared" ref="M76:M79" si="47">J76-(J75+L76)</f>
        <v>1.2734795884483674E-8</v>
      </c>
      <c r="N76" s="1">
        <f t="shared" ref="N76:N79" si="48">($B$5^2/($F$7*(D76^3/$B$2)))</f>
        <v>1.6380256399675833E-2</v>
      </c>
      <c r="O76" s="1">
        <f t="shared" si="37"/>
        <v>4.1929633723310102</v>
      </c>
      <c r="P76">
        <f t="shared" si="34"/>
        <v>-6.2002364958809508E-2</v>
      </c>
      <c r="Q76" s="1">
        <f t="shared" si="31"/>
        <v>2.0943742359665727</v>
      </c>
      <c r="R76" s="1">
        <f t="shared" si="27"/>
        <v>2.6555679282845097</v>
      </c>
      <c r="S76" s="1">
        <f t="shared" si="28"/>
        <v>0.255</v>
      </c>
    </row>
    <row r="77" spans="1:24" ht="16.5" x14ac:dyDescent="0.3">
      <c r="A77" s="1">
        <v>180</v>
      </c>
      <c r="B77" s="1">
        <f t="shared" si="32"/>
        <v>0.27</v>
      </c>
      <c r="C77" s="7">
        <v>1.825167617137168</v>
      </c>
      <c r="D77" s="1">
        <f t="shared" si="38"/>
        <v>4.3804022811292027</v>
      </c>
      <c r="E77" s="1">
        <f t="shared" si="39"/>
        <v>6.0503352342743355</v>
      </c>
      <c r="F77" s="1">
        <f t="shared" si="40"/>
        <v>0.54789488407017162</v>
      </c>
      <c r="G77" s="1">
        <f t="shared" si="41"/>
        <v>1.5300142914896371E-2</v>
      </c>
      <c r="H77" s="1">
        <f t="shared" si="42"/>
        <v>0.72399331797597144</v>
      </c>
      <c r="I77" s="1">
        <f t="shared" si="43"/>
        <v>235.45745346005057</v>
      </c>
      <c r="J77" s="1">
        <f t="shared" si="44"/>
        <v>2.1104677600520643</v>
      </c>
      <c r="K77" s="1">
        <f t="shared" si="45"/>
        <v>1.0288011042744494E-4</v>
      </c>
      <c r="L77" s="1">
        <f t="shared" si="46"/>
        <v>1.0288011042744495E-3</v>
      </c>
      <c r="M77" s="8">
        <f t="shared" si="47"/>
        <v>1.2181172071024093E-8</v>
      </c>
      <c r="N77" s="1">
        <f t="shared" si="48"/>
        <v>1.6765740057228414E-2</v>
      </c>
      <c r="O77" s="1">
        <f t="shared" si="37"/>
        <v>4.131525758627431</v>
      </c>
      <c r="P77">
        <f t="shared" si="34"/>
        <v>-6.1437613703579252E-2</v>
      </c>
      <c r="Q77" s="1">
        <f t="shared" si="31"/>
        <v>2.095167617137168</v>
      </c>
      <c r="R77" s="1">
        <f t="shared" si="27"/>
        <v>2.6705679282845098</v>
      </c>
      <c r="S77" s="1">
        <f t="shared" si="28"/>
        <v>0.27</v>
      </c>
    </row>
    <row r="78" spans="1:24" ht="16.5" x14ac:dyDescent="0.3">
      <c r="A78" s="1">
        <v>190</v>
      </c>
      <c r="B78" s="1">
        <f t="shared" si="32"/>
        <v>0.28500000000000003</v>
      </c>
      <c r="C78" s="7">
        <v>1.8109761358733927</v>
      </c>
      <c r="D78" s="1">
        <f t="shared" si="38"/>
        <v>4.3463427260961423</v>
      </c>
      <c r="E78" s="1">
        <f t="shared" si="39"/>
        <v>6.0219522717467857</v>
      </c>
      <c r="F78" s="1">
        <f t="shared" si="40"/>
        <v>0.55218839176901835</v>
      </c>
      <c r="G78" s="1">
        <f t="shared" si="41"/>
        <v>1.5540877676068036E-2</v>
      </c>
      <c r="H78" s="1">
        <f t="shared" si="42"/>
        <v>0.72174977979946697</v>
      </c>
      <c r="I78" s="1">
        <f t="shared" si="43"/>
        <v>233.14377104251116</v>
      </c>
      <c r="J78" s="1">
        <f t="shared" si="44"/>
        <v>2.1115170135494608</v>
      </c>
      <c r="K78" s="1">
        <f t="shared" si="45"/>
        <v>1.0492419273272431E-4</v>
      </c>
      <c r="L78" s="1">
        <f t="shared" si="46"/>
        <v>1.049241927327243E-3</v>
      </c>
      <c r="M78" s="8">
        <f t="shared" si="47"/>
        <v>1.1570069347044409E-8</v>
      </c>
      <c r="N78" s="1">
        <f t="shared" si="48"/>
        <v>1.71629845012541E-2</v>
      </c>
      <c r="O78" s="1">
        <f t="shared" si="37"/>
        <v>4.0706534389325668</v>
      </c>
      <c r="P78">
        <f t="shared" si="34"/>
        <v>-6.0872319694864174E-2</v>
      </c>
      <c r="Q78" s="1">
        <f t="shared" si="31"/>
        <v>2.0959761358733928</v>
      </c>
      <c r="R78" s="1">
        <f t="shared" si="27"/>
        <v>2.68556792828451</v>
      </c>
      <c r="S78" s="1">
        <f t="shared" si="28"/>
        <v>0.28500000000000003</v>
      </c>
    </row>
    <row r="79" spans="1:24" ht="16.5" x14ac:dyDescent="0.3">
      <c r="A79" s="1">
        <v>200</v>
      </c>
      <c r="B79" s="1">
        <f t="shared" si="32"/>
        <v>0.3</v>
      </c>
      <c r="C79" s="7">
        <v>1.7968002105396645</v>
      </c>
      <c r="D79" s="1">
        <f t="shared" si="38"/>
        <v>4.3123205052951947</v>
      </c>
      <c r="E79" s="1">
        <f t="shared" si="39"/>
        <v>5.9936004210793286</v>
      </c>
      <c r="F79" s="1">
        <f t="shared" si="40"/>
        <v>0.55654490362044895</v>
      </c>
      <c r="G79" s="1">
        <f t="shared" si="41"/>
        <v>1.5787065736284141E-2</v>
      </c>
      <c r="H79" s="1">
        <f t="shared" si="42"/>
        <v>0.71948748704182575</v>
      </c>
      <c r="I79" s="1">
        <f t="shared" si="43"/>
        <v>230.83514738794238</v>
      </c>
      <c r="J79" s="1">
        <f t="shared" si="44"/>
        <v>2.1125872762759483</v>
      </c>
      <c r="K79" s="1">
        <f t="shared" si="45"/>
        <v>1.0702518282101515E-4</v>
      </c>
      <c r="L79" s="1">
        <f t="shared" si="46"/>
        <v>1.0702518282101514E-3</v>
      </c>
      <c r="M79" s="8">
        <f t="shared" si="47"/>
        <v>1.0898277391646616E-8</v>
      </c>
      <c r="N79" s="1">
        <f t="shared" si="48"/>
        <v>1.7572421957299897E-2</v>
      </c>
      <c r="O79" s="1">
        <f t="shared" si="37"/>
        <v>4.0103469705005015</v>
      </c>
      <c r="P79">
        <f t="shared" si="34"/>
        <v>-6.030646843206533E-2</v>
      </c>
      <c r="Q79" s="1">
        <f t="shared" si="31"/>
        <v>2.0968002105396644</v>
      </c>
      <c r="R79" s="1">
        <f t="shared" si="27"/>
        <v>2.7005679282845096</v>
      </c>
      <c r="S79" s="1">
        <f t="shared" si="28"/>
        <v>0.3</v>
      </c>
    </row>
  </sheetData>
  <pageMargins left="0.7" right="0.7" top="0.75" bottom="0.75" header="0.3" footer="0.3"/>
  <drawing r:id="rId1"/>
  <legacyDrawing r:id="rId2"/>
  <oleObjects>
    <mc:AlternateContent xmlns:mc="http://schemas.openxmlformats.org/markup-compatibility/2006">
      <mc:Choice Requires="x14">
        <oleObject progId="Equation.DSMT4" shapeId="4097" r:id="rId3">
          <objectPr defaultSize="0" autoPict="0" r:id="rId4">
            <anchor moveWithCells="1">
              <from>
                <xdr:col>16</xdr:col>
                <xdr:colOff>295275</xdr:colOff>
                <xdr:row>6</xdr:row>
                <xdr:rowOff>209550</xdr:rowOff>
              </from>
              <to>
                <xdr:col>19</xdr:col>
                <xdr:colOff>295275</xdr:colOff>
                <xdr:row>10</xdr:row>
                <xdr:rowOff>123825</xdr:rowOff>
              </to>
            </anchor>
          </objectPr>
        </oleObject>
      </mc:Choice>
      <mc:Fallback>
        <oleObject progId="Equation.DSMT4" shapeId="4097"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 1)</vt:lpstr>
      <vt:lpstr>Island Problem</vt:lpstr>
      <vt:lpstr>(HecRas)</vt:lpstr>
      <vt:lpstr>(Case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Shishir Chaulagain</dc:creator>
  <cp:lastModifiedBy>Shishir Chaulagain</cp:lastModifiedBy>
  <dcterms:created xsi:type="dcterms:W3CDTF">2015-06-05T18:17:20Z</dcterms:created>
  <dcterms:modified xsi:type="dcterms:W3CDTF">2026-01-18T04:05:05Z</dcterms:modified>
</cp:coreProperties>
</file>